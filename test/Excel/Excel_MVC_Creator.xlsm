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anda\git\xps.local.npm\vbspm-xl\"/>
    </mc:Choice>
  </mc:AlternateContent>
  <xr:revisionPtr revIDLastSave="0" documentId="13_ncr:1_{222421EC-944F-46B4-8A78-5647EAB69372}" xr6:coauthVersionLast="47" xr6:coauthVersionMax="47" xr10:uidLastSave="{00000000-0000-0000-0000-000000000000}"/>
  <bookViews>
    <workbookView xWindow="3660" yWindow="2730" windowWidth="20910" windowHeight="11835" activeTab="3" xr2:uid="{00000000-000D-0000-FFFF-FFFF00000000}"/>
  </bookViews>
  <sheets>
    <sheet name="Sheet1" sheetId="4" r:id="rId1"/>
    <sheet name="tables" sheetId="13" r:id="rId2"/>
    <sheet name="properties" sheetId="5" r:id="rId3"/>
    <sheet name="Review" sheetId="12" r:id="rId4"/>
    <sheet name="properties (2)" sheetId="14" r:id="rId5"/>
    <sheet name="Review (2)" sheetId="15" r:id="rId6"/>
    <sheet name="tables_old" sheetId="1" r:id="rId7"/>
    <sheet name="Sheet2" sheetId="9" r:id="rId8"/>
    <sheet name="Review_old" sheetId="3" r:id="rId9"/>
    <sheet name="Questions" sheetId="2" r:id="rId10"/>
    <sheet name="mvcPrep" sheetId="10" r:id="rId11"/>
  </sheets>
  <functionGroups builtInGroupCount="19"/>
  <definedNames>
    <definedName name="_xlnm._FilterDatabase" localSheetId="2" hidden="1">properties!$B$1:$J$664</definedName>
    <definedName name="_xlnm._FilterDatabase" localSheetId="4" hidden="1">'properties (2)'!$A$1:$I$406</definedName>
    <definedName name="eMySQLDataType">mvcPrep!$A$1:$A$8</definedName>
    <definedName name="eMySQLDefault">mvcPrep!$B$1:$B$5</definedName>
    <definedName name="ePredefined">mvcPrep!$C$1:$C$8</definedName>
    <definedName name="eTableDefinitions">Sheet2!$A$2:$I$100</definedName>
    <definedName name="Rng_Defaults">Sheet1!$D$2:$E$21</definedName>
    <definedName name="Rng_Minolta_Prices" localSheetId="4">#REF!</definedName>
    <definedName name="Rng_Minolta_Prices" localSheetId="5">#REF!</definedName>
    <definedName name="Rng_Minolta_Prices">#REF!</definedName>
    <definedName name="Rng_Properties" localSheetId="4">'properties (2)'!$A$2:$I$1048576</definedName>
    <definedName name="Rng_Properties">properties!$B$2:$J$1048576</definedName>
    <definedName name="Rng_Studios" localSheetId="4">#REF!</definedName>
    <definedName name="Rng_Studios" localSheetId="5">#REF!</definedName>
    <definedName name="Rng_Studios">#REF!</definedName>
    <definedName name="RngCustomers" localSheetId="4">#REF!</definedName>
    <definedName name="RngCustomers" localSheetId="5">#REF!</definedName>
    <definedName name="RngCustomers">#REF!</definedName>
    <definedName name="RngRegister" localSheetId="4">#REF!</definedName>
    <definedName name="RngRegister" localSheetId="5">#REF!</definedName>
    <definedName name="RngRegister">#REF!</definedName>
    <definedName name="RngReserved">Sheet1!$A$2:$C$194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0" i="1" l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14" i="1"/>
  <c r="K13" i="1"/>
  <c r="H72" i="1" l="1"/>
  <c r="K74" i="1" s="1"/>
  <c r="H71" i="1"/>
  <c r="K73" i="1" s="1"/>
  <c r="H70" i="1"/>
  <c r="K72" i="1" s="1"/>
  <c r="H69" i="1"/>
  <c r="K71" i="1" s="1"/>
  <c r="H68" i="1"/>
  <c r="K70" i="1" s="1"/>
  <c r="H67" i="1"/>
  <c r="K69" i="1" s="1"/>
  <c r="H66" i="1"/>
  <c r="K68" i="1" s="1"/>
  <c r="H65" i="1"/>
  <c r="K67" i="1" s="1"/>
  <c r="H64" i="1"/>
  <c r="K66" i="1" s="1"/>
  <c r="H63" i="1"/>
  <c r="K65" i="1" s="1"/>
  <c r="H62" i="1"/>
  <c r="K64" i="1" s="1"/>
  <c r="H61" i="1"/>
  <c r="K63" i="1" s="1"/>
  <c r="H60" i="1"/>
  <c r="K62" i="1" s="1"/>
  <c r="H59" i="1"/>
  <c r="K61" i="1" s="1"/>
  <c r="H58" i="1"/>
  <c r="K60" i="1" s="1"/>
  <c r="H57" i="1"/>
  <c r="K59" i="1" s="1"/>
  <c r="H56" i="1"/>
  <c r="K58" i="1" s="1"/>
  <c r="H55" i="1"/>
  <c r="K57" i="1" s="1"/>
  <c r="H54" i="1"/>
  <c r="K56" i="1" s="1"/>
  <c r="H53" i="1"/>
  <c r="K55" i="1" s="1"/>
  <c r="H52" i="1"/>
  <c r="K54" i="1" s="1"/>
  <c r="H51" i="1"/>
  <c r="K53" i="1" s="1"/>
  <c r="H50" i="1"/>
  <c r="K52" i="1" s="1"/>
  <c r="H49" i="1"/>
  <c r="K5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JH</author>
  </authors>
  <commentList>
    <comment ref="B164" authorId="0" shapeId="0" xr:uid="{00000000-0006-0000-0100-000001000000}">
      <text>
        <r>
          <rPr>
            <b/>
            <sz val="8"/>
            <color indexed="81"/>
            <rFont val="Tahoma"/>
            <charset val="1"/>
          </rPr>
          <t>JH:</t>
        </r>
        <r>
          <rPr>
            <sz val="8"/>
            <color indexed="81"/>
            <rFont val="Tahoma"/>
            <charset val="1"/>
          </rPr>
          <t xml:space="preserve">
Get payees not in Credit accounts</t>
        </r>
      </text>
    </comment>
    <comment ref="G164" authorId="0" shapeId="0" xr:uid="{00000000-0006-0000-0100-000002000000}">
      <text>
        <r>
          <rPr>
            <b/>
            <sz val="8"/>
            <color indexed="81"/>
            <rFont val="Tahoma"/>
            <charset val="1"/>
          </rPr>
          <t>JH:</t>
        </r>
        <r>
          <rPr>
            <sz val="8"/>
            <color indexed="81"/>
            <rFont val="Tahoma"/>
            <charset val="1"/>
          </rPr>
          <t xml:space="preserve">
User can pay to somebody non-refundable</t>
        </r>
      </text>
    </comment>
    <comment ref="I164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JH:</t>
        </r>
        <r>
          <rPr>
            <sz val="8"/>
            <color indexed="81"/>
            <rFont val="Tahoma"/>
            <family val="2"/>
          </rPr>
          <t xml:space="preserve">
Company will be considered a payee</t>
        </r>
      </text>
    </comment>
    <comment ref="H168" authorId="0" shapeId="0" xr:uid="{00000000-0006-0000-0100-000004000000}">
      <text>
        <r>
          <rPr>
            <b/>
            <sz val="8"/>
            <color indexed="81"/>
            <rFont val="Tahoma"/>
            <charset val="1"/>
          </rPr>
          <t>JH:</t>
        </r>
        <r>
          <rPr>
            <sz val="8"/>
            <color indexed="81"/>
            <rFont val="Tahoma"/>
            <charset val="1"/>
          </rPr>
          <t xml:space="preserve">
Considering income generated from a chit as a transfer</t>
        </r>
      </text>
    </comment>
    <comment ref="G171" authorId="0" shapeId="0" xr:uid="{00000000-0006-0000-0100-000005000000}">
      <text>
        <r>
          <rPr>
            <b/>
            <sz val="8"/>
            <color indexed="81"/>
            <rFont val="Tahoma"/>
            <charset val="1"/>
          </rPr>
          <t>JH:</t>
        </r>
        <r>
          <rPr>
            <sz val="8"/>
            <color indexed="81"/>
            <rFont val="Tahoma"/>
            <charset val="1"/>
          </rPr>
          <t xml:space="preserve">
Any non-refundable payments to the trips</t>
        </r>
      </text>
    </comment>
    <comment ref="G172" authorId="0" shapeId="0" xr:uid="{00000000-0006-0000-0100-000006000000}">
      <text>
        <r>
          <rPr>
            <b/>
            <sz val="8"/>
            <color indexed="81"/>
            <rFont val="Tahoma"/>
            <charset val="1"/>
          </rPr>
          <t>JH:</t>
        </r>
        <r>
          <rPr>
            <sz val="8"/>
            <color indexed="81"/>
            <rFont val="Tahoma"/>
            <charset val="1"/>
          </rPr>
          <t xml:space="preserve">
Any non-refundable payments to funds</t>
        </r>
      </text>
    </comment>
    <comment ref="A174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>JH:</t>
        </r>
        <r>
          <rPr>
            <sz val="8"/>
            <color indexed="81"/>
            <rFont val="Tahoma"/>
            <family val="2"/>
          </rPr>
          <t xml:space="preserve">
VIEW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T3" authorId="0" shapeId="0" xr:uid="{00000000-0006-0000-0600-000001000000}">
      <text>
        <r>
          <rPr>
            <sz val="10"/>
            <color rgb="FF000000"/>
            <rFont val="Arial"/>
          </rPr>
          <t>It's better to apply the 'default' discount code at the studio group level. Then the overridden discount can anyway be tracked in respective transaction table.</t>
        </r>
      </text>
    </comment>
  </commentList>
</comments>
</file>

<file path=xl/sharedStrings.xml><?xml version="1.0" encoding="utf-8"?>
<sst xmlns="http://schemas.openxmlformats.org/spreadsheetml/2006/main" count="4720" uniqueCount="1831">
  <si>
    <t>Services</t>
  </si>
  <si>
    <t>id</t>
  </si>
  <si>
    <t>parent_id</t>
  </si>
  <si>
    <t>created</t>
  </si>
  <si>
    <t>user_id</t>
  </si>
  <si>
    <t>Low</t>
  </si>
  <si>
    <t>Does it required to add 'created' column to all columns such as studio_groups? I mean does it really matter when the group is created/modifed?</t>
  </si>
  <si>
    <t>Done; Ref #10</t>
  </si>
  <si>
    <t>Concerning Item #1; rather it would be beneficial to track all changes in a HISTORY table where everything can be tracked seamlesly</t>
  </si>
  <si>
    <t>High</t>
  </si>
  <si>
    <t>create an assets table</t>
  </si>
  <si>
    <t>Create suppliers table</t>
  </si>
  <si>
    <t>Done</t>
  </si>
  <si>
    <t>Better refills merge into purchases for easy maintenance</t>
  </si>
  <si>
    <t>better maintenance merge into bills for easy maintenance</t>
  </si>
  <si>
    <t>rename studio tables to customer tables</t>
  </si>
  <si>
    <t>let's merge job table content into tran_sls_details table for simplicity</t>
  </si>
  <si>
    <t>Create a universal History table and add Triggers in all transaction related tables to track history [table name, id, column_updated, old_value, new_value, updated_by, updated_at]</t>
  </si>
  <si>
    <t>first_name</t>
  </si>
  <si>
    <t>last_name</t>
  </si>
  <si>
    <t>cell</t>
  </si>
  <si>
    <t>email</t>
  </si>
  <si>
    <t>bank</t>
  </si>
  <si>
    <t>joined</t>
  </si>
  <si>
    <t>Medium</t>
  </si>
  <si>
    <t>I think it's wise to use codes insteads of ids as foreing keys.. such as transaction type code, status code etc.,; Not advisable in Cakephp. have both id and code; use code in coding</t>
  </si>
  <si>
    <t>Album Items</t>
  </si>
  <si>
    <t>null</t>
  </si>
  <si>
    <t>statuses</t>
  </si>
  <si>
    <t>Srinivas</t>
  </si>
  <si>
    <t>HDFC Bank A/C: 0045541254451021</t>
  </si>
  <si>
    <t>Glossy</t>
  </si>
  <si>
    <t>Velvet</t>
  </si>
  <si>
    <t>ACTIVE</t>
  </si>
  <si>
    <t>Ramesh</t>
  </si>
  <si>
    <t>Metalic-Gold</t>
  </si>
  <si>
    <t>INACTIVE</t>
  </si>
  <si>
    <t>Metalic-Silver</t>
  </si>
  <si>
    <t>Silk-met</t>
  </si>
  <si>
    <t>customer_groups</t>
  </si>
  <si>
    <t>customers</t>
  </si>
  <si>
    <t>Synthetic</t>
  </si>
  <si>
    <t>discount_id</t>
  </si>
  <si>
    <t>address</t>
  </si>
  <si>
    <t>Other</t>
  </si>
  <si>
    <t>sizes</t>
  </si>
  <si>
    <t>DEFAULT</t>
  </si>
  <si>
    <t>General Customer</t>
  </si>
  <si>
    <t>Pads</t>
  </si>
  <si>
    <t>FREQUENT</t>
  </si>
  <si>
    <t>Kiran Photo Studio</t>
  </si>
  <si>
    <t>Near Natraj theatre, Sircilla</t>
  </si>
  <si>
    <t>3D</t>
  </si>
  <si>
    <t>Regular</t>
  </si>
  <si>
    <t>ASSOCIATES</t>
  </si>
  <si>
    <t>Pallavi Photo Studio</t>
  </si>
  <si>
    <t>Near Gandhi road, Sircilla</t>
  </si>
  <si>
    <t>12x36</t>
  </si>
  <si>
    <t>PARTNERS</t>
  </si>
  <si>
    <t>Near Old Busstand, Sircilla</t>
  </si>
  <si>
    <t>accounts</t>
  </si>
  <si>
    <t>Guiltar</t>
  </si>
  <si>
    <t>details</t>
  </si>
  <si>
    <t>Leather</t>
  </si>
  <si>
    <t>prices</t>
  </si>
  <si>
    <t>CASHIER 1</t>
  </si>
  <si>
    <t>person name, desk location etc</t>
  </si>
  <si>
    <t>Bags</t>
  </si>
  <si>
    <t>account_groups</t>
  </si>
  <si>
    <t>CASHIER 2</t>
  </si>
  <si>
    <t>HDFC Office A/C 5432</t>
  </si>
  <si>
    <t>Account, branch information</t>
  </si>
  <si>
    <t>Premium</t>
  </si>
  <si>
    <t>CASH</t>
  </si>
  <si>
    <t>ICICI Office A/C 1234</t>
  </si>
  <si>
    <t>Juit</t>
  </si>
  <si>
    <t>BANK</t>
  </si>
  <si>
    <t>Box</t>
  </si>
  <si>
    <t>account_trans</t>
  </si>
  <si>
    <t>Cards</t>
  </si>
  <si>
    <t>employee_id</t>
  </si>
  <si>
    <t>Single Sided</t>
  </si>
  <si>
    <t>discounts</t>
  </si>
  <si>
    <t>Multi Sided</t>
  </si>
  <si>
    <t>Hard Paper</t>
  </si>
  <si>
    <t>DISC00</t>
  </si>
  <si>
    <t>SALARY</t>
  </si>
  <si>
    <t>Paid</t>
  </si>
  <si>
    <t>DISC10</t>
  </si>
  <si>
    <t>DISC30</t>
  </si>
  <si>
    <t>Non-Tearable Paper</t>
  </si>
  <si>
    <t>DISC70</t>
  </si>
  <si>
    <t>quantity</t>
  </si>
  <si>
    <t>booking_date</t>
  </si>
  <si>
    <t>delivery_date</t>
  </si>
  <si>
    <t>tran_types</t>
  </si>
  <si>
    <t>Album printing</t>
  </si>
  <si>
    <t>Stickers</t>
  </si>
  <si>
    <t>Repair</t>
  </si>
  <si>
    <t>Received</t>
  </si>
  <si>
    <t>Album</t>
  </si>
  <si>
    <t>Designing</t>
  </si>
  <si>
    <t>tran_codes</t>
  </si>
  <si>
    <t>transactions</t>
  </si>
  <si>
    <t>Sheet</t>
  </si>
  <si>
    <t>SAL</t>
  </si>
  <si>
    <t>Bill Payment</t>
  </si>
  <si>
    <t>BIL</t>
  </si>
  <si>
    <t>Jun-05-2015</t>
  </si>
  <si>
    <t>June Month Advance</t>
  </si>
  <si>
    <t>Sales</t>
  </si>
  <si>
    <t>SLS</t>
  </si>
  <si>
    <t>Jun-25-2015</t>
  </si>
  <si>
    <t>Suresh</t>
  </si>
  <si>
    <t>June Month Salary</t>
  </si>
  <si>
    <t>Purchases</t>
  </si>
  <si>
    <t>PUR</t>
  </si>
  <si>
    <t>Jun-26-2015</t>
  </si>
  <si>
    <t>LandLine 3032</t>
  </si>
  <si>
    <t>June Internet Bill</t>
  </si>
  <si>
    <t>Refills</t>
  </si>
  <si>
    <t>3D Pad</t>
  </si>
  <si>
    <t>Photo printing</t>
  </si>
  <si>
    <t>Maintenance</t>
  </si>
  <si>
    <t>MNT</t>
  </si>
  <si>
    <t>Juit Bags</t>
  </si>
  <si>
    <t>From XYZ company</t>
  </si>
  <si>
    <t>Catridges</t>
  </si>
  <si>
    <t>tran_statuses</t>
  </si>
  <si>
    <t>Desk repair</t>
  </si>
  <si>
    <t>Maintenance to desk</t>
  </si>
  <si>
    <t>Completed</t>
  </si>
  <si>
    <t>In Progress</t>
  </si>
  <si>
    <t>On Hold</t>
  </si>
  <si>
    <t>description</t>
  </si>
  <si>
    <t>Cancelled</t>
  </si>
  <si>
    <t>Delivered</t>
  </si>
  <si>
    <t>May-01-2015</t>
  </si>
  <si>
    <t>June internet bill</t>
  </si>
  <si>
    <t>Jun-03-2015</t>
  </si>
  <si>
    <t>June Current bill</t>
  </si>
  <si>
    <t>juit bags</t>
  </si>
  <si>
    <t>glossy paper stock</t>
  </si>
  <si>
    <t>tran_sls_details</t>
  </si>
  <si>
    <t>discount_price</t>
  </si>
  <si>
    <t>Delivery_date</t>
  </si>
  <si>
    <t>May-10-2015</t>
  </si>
  <si>
    <t>fb_id</t>
  </si>
  <si>
    <t>fb_access_token</t>
  </si>
  <si>
    <t>twt_id</t>
  </si>
  <si>
    <t>twt_access_token</t>
  </si>
  <si>
    <t>twt_access_secret</t>
  </si>
  <si>
    <t>ldn_id</t>
  </si>
  <si>
    <t>user_group_id</t>
  </si>
  <si>
    <t>username</t>
  </si>
  <si>
    <t>password</t>
  </si>
  <si>
    <t>salt</t>
  </si>
  <si>
    <t>active</t>
  </si>
  <si>
    <t>email_verified</t>
  </si>
  <si>
    <t>last_login</t>
  </si>
  <si>
    <t>by_admin</t>
  </si>
  <si>
    <t>ip_address</t>
  </si>
  <si>
    <t>modified</t>
  </si>
  <si>
    <t>\N</t>
  </si>
  <si>
    <t>admin</t>
  </si>
  <si>
    <t>c2141766085bf6f11b37bbe4a3d4e53680d49e2f344501d65480f8f3475b7800</t>
  </si>
  <si>
    <t>8vmCKYI6JeZVOXdcJE7wpCZPiVYUl7qJJfx61hLWQVQS/gib3stGxK0W9Gc4Noqb</t>
  </si>
  <si>
    <t>admin@admin.com</t>
  </si>
  <si>
    <t>Admin</t>
  </si>
  <si>
    <t>gender</t>
  </si>
  <si>
    <t>photo</t>
  </si>
  <si>
    <t>bday</t>
  </si>
  <si>
    <t>location</t>
  </si>
  <si>
    <t>marital_status</t>
  </si>
  <si>
    <t>cellphone</t>
  </si>
  <si>
    <t>web_page</t>
  </si>
  <si>
    <t>male</t>
  </si>
  <si>
    <t>single</t>
  </si>
  <si>
    <t>Add Joined and Bank account information; Usermgmt plugin (hard to maintain) or stand alone table (easy to maintain)</t>
  </si>
  <si>
    <t>Convert all employee_id to user_id for integration with plugin</t>
  </si>
  <si>
    <t>Create a products table</t>
  </si>
  <si>
    <t>discount_comment</t>
  </si>
  <si>
    <t>my custom discount</t>
  </si>
  <si>
    <t>suppliers</t>
  </si>
  <si>
    <t>Digital suppliers, Karimnagar</t>
  </si>
  <si>
    <t>Ram paper mart, Hyderbad</t>
  </si>
  <si>
    <t>Atma digital suppliers, Hyderabad</t>
  </si>
  <si>
    <t>Sadana Book depot, Sircilla</t>
  </si>
  <si>
    <t>assets</t>
  </si>
  <si>
    <t>Atma Digital printer</t>
  </si>
  <si>
    <t>Computer 1</t>
  </si>
  <si>
    <t>Computer 2</t>
  </si>
  <si>
    <t>Telephone 3032</t>
  </si>
  <si>
    <t>products</t>
  </si>
  <si>
    <t>Juit Bag</t>
  </si>
  <si>
    <t>Pad - Box</t>
  </si>
  <si>
    <t>Atma Paper roll</t>
  </si>
  <si>
    <t>13x40 paper roll</t>
  </si>
  <si>
    <t>N/A</t>
  </si>
  <si>
    <t>Seperate products from catelogs; It is still required since product is for purchanes and service is for sales</t>
  </si>
  <si>
    <t>histories</t>
  </si>
  <si>
    <t>modified_at</t>
  </si>
  <si>
    <t>default</t>
  </si>
  <si>
    <t>Special request</t>
  </si>
  <si>
    <t>Need to track bank/cash deposits and withdrawals</t>
  </si>
  <si>
    <t>jobs?</t>
  </si>
  <si>
    <t>?</t>
  </si>
  <si>
    <t>Created</t>
  </si>
  <si>
    <t>discount_id?</t>
  </si>
  <si>
    <t>year?</t>
  </si>
  <si>
    <t>reserved?</t>
  </si>
  <si>
    <t>name*</t>
  </si>
  <si>
    <t>code*</t>
  </si>
  <si>
    <t>status_id*</t>
  </si>
  <si>
    <t>rate*</t>
  </si>
  <si>
    <t>size_id*</t>
  </si>
  <si>
    <t>customer_group_id*</t>
  </si>
  <si>
    <t>account_group_id*</t>
  </si>
  <si>
    <t>min_threshold*</t>
  </si>
  <si>
    <t>account_id*</t>
  </si>
  <si>
    <t>user_id*</t>
  </si>
  <si>
    <t>tran_code_id*</t>
  </si>
  <si>
    <t>tran_type_id*</t>
  </si>
  <si>
    <t>amount*</t>
  </si>
  <si>
    <t>proc_date*</t>
  </si>
  <si>
    <t>transaction_id*</t>
  </si>
  <si>
    <t>asset_id*</t>
  </si>
  <si>
    <t>product_id*</t>
  </si>
  <si>
    <t>service_id*</t>
  </si>
  <si>
    <t>eff_date*</t>
  </si>
  <si>
    <t>quantity*</t>
  </si>
  <si>
    <t>supplier_id*</t>
  </si>
  <si>
    <t>customer_id*</t>
  </si>
  <si>
    <t>tran_status_id*</t>
  </si>
  <si>
    <t>total_amnt*</t>
  </si>
  <si>
    <t>discount_id*</t>
  </si>
  <si>
    <t>users?</t>
  </si>
  <si>
    <t>user_details?</t>
  </si>
  <si>
    <t xml:space="preserve">	`id` int(11) NOT NULL AUTO_INCREMENT,</t>
  </si>
  <si>
    <t xml:space="preserve">	`name` varchar(255) COLLATE utf8_unicode_ci NOT NULL,</t>
  </si>
  <si>
    <t xml:space="preserve">	`code` varchar(20) COLLATE utf8_unicode_ci NOT NULL,</t>
  </si>
  <si>
    <t xml:space="preserve">	`status_id` int(11) NOT NULL,</t>
  </si>
  <si>
    <t xml:space="preserve">	`created` datetime DEFAULT NULL,</t>
  </si>
  <si>
    <t xml:space="preserve">	`discount_id` int(11) DEFAULT NULL,</t>
  </si>
  <si>
    <t xml:space="preserve">	`address` varchar(255) COLLATE utf8_unicode_ci DEFAULT NULL,</t>
  </si>
  <si>
    <t xml:space="preserve">	`cell` varchar(255) COLLATE utf8_unicode_ci DEFAULT NULL,</t>
  </si>
  <si>
    <t xml:space="preserve">	`email` varchar(255) COLLATE utf8_unicode_ci DEFAULT NULL,</t>
  </si>
  <si>
    <t xml:space="preserve">	`customer_group_id` int(11) NOT NULL,</t>
  </si>
  <si>
    <t xml:space="preserve">	`account_group_id` int(11) NOT NULL,</t>
  </si>
  <si>
    <t xml:space="preserve">	`details` varchar(255) COLLATE utf8_unicode_ci DEFAULT NULL,</t>
  </si>
  <si>
    <t xml:space="preserve">	`min_threshold` varchar(255) COLLATE utf8_unicode_ci NOT NULL,</t>
  </si>
  <si>
    <t xml:space="preserve">	`parent_id` int(11) DEFAULT NULL,</t>
  </si>
  <si>
    <t xml:space="preserve">	`account_id` int(11) NOT NULL,</t>
  </si>
  <si>
    <t xml:space="preserve">	`user_id` int(11) NOT NULL,</t>
  </si>
  <si>
    <t xml:space="preserve">	`tran_code_id` int(11) NOT NULL,</t>
  </si>
  <si>
    <t xml:space="preserve">	`tran_type_id` int(11) NOT NULL,</t>
  </si>
  <si>
    <t xml:space="preserve">	`amount` varchar(255) COLLATE utf8_unicode_ci NOT NULL,</t>
  </si>
  <si>
    <t xml:space="preserve">	`rate` varchar(255) COLLATE utf8_unicode_ci NOT NULL,</t>
  </si>
  <si>
    <t xml:space="preserve">	`transaction_id` int(11) NOT NULL,</t>
  </si>
  <si>
    <t xml:space="preserve">	`description` text COLLATE utf8_unicode_ci,</t>
  </si>
  <si>
    <t xml:space="preserve">	`asset_id` int(11) NOT NULL,</t>
  </si>
  <si>
    <t xml:space="preserve">	`size_id` int(11) NOT NULL,</t>
  </si>
  <si>
    <t xml:space="preserve">	`product_id` int(11) NOT NULL,</t>
  </si>
  <si>
    <t xml:space="preserve">	`quantity` varchar(255) COLLATE utf8_unicode_ci NOT NULL,</t>
  </si>
  <si>
    <t xml:space="preserve">	`supplier_id` int(11) NOT NULL,</t>
  </si>
  <si>
    <t xml:space="preserve">	`service_id` int(11) NOT NULL,</t>
  </si>
  <si>
    <t xml:space="preserve">	`quantity` varchar(255) COLLATE utf8_unicode_ci DEFAULT NULL,</t>
  </si>
  <si>
    <t xml:space="preserve">	`customer_id` int(11) NOT NULL,</t>
  </si>
  <si>
    <t xml:space="preserve">	`tran_status_id` int(11) NOT NULL,</t>
  </si>
  <si>
    <t xml:space="preserve">	`discount_id` int(11) NOT NULL,</t>
  </si>
  <si>
    <t xml:space="preserve">	`discount_price` varchar(255) COLLATE utf8_unicode_ci DEFAULT NULL,</t>
  </si>
  <si>
    <t xml:space="preserve">	`discount_comment` varchar(255) COLLATE utf8_unicode_ci DEFAULT NULL,</t>
  </si>
  <si>
    <t xml:space="preserve">	`modified_at` datetime DEFAULT NULL,</t>
  </si>
  <si>
    <t xml:space="preserve">	 PRIMARY KEY (`id`)</t>
  </si>
  <si>
    <t>)  ENGINE=MyISAM;</t>
  </si>
  <si>
    <t>Table 9.2 Keywords and Reserved Words in MySQL 5.0</t>
  </si>
  <si>
    <t>ACTION</t>
  </si>
  <si>
    <t>ADD (R)</t>
  </si>
  <si>
    <t>AFTER</t>
  </si>
  <si>
    <t>AGAINST</t>
  </si>
  <si>
    <t>AGGREGATE</t>
  </si>
  <si>
    <t>ALGORITHM</t>
  </si>
  <si>
    <t>ALL (R)</t>
  </si>
  <si>
    <t>ALTER (R)</t>
  </si>
  <si>
    <t>ANALYZE (R)</t>
  </si>
  <si>
    <t>AND (R)</t>
  </si>
  <si>
    <t>ANY</t>
  </si>
  <si>
    <t>AS (R)</t>
  </si>
  <si>
    <t>ASC (R)</t>
  </si>
  <si>
    <t>ASCII</t>
  </si>
  <si>
    <t>ASENSITIVE (R)</t>
  </si>
  <si>
    <t>AUTO_INCREMENT</t>
  </si>
  <si>
    <t>AVG</t>
  </si>
  <si>
    <t>AVG_ROW_LENGTH</t>
  </si>
  <si>
    <t>BACKUP</t>
  </si>
  <si>
    <t>BDB</t>
  </si>
  <si>
    <t>BEFORE (R)</t>
  </si>
  <si>
    <t>BEGIN</t>
  </si>
  <si>
    <t>BERKELEYDB</t>
  </si>
  <si>
    <t>BETWEEN (R)</t>
  </si>
  <si>
    <t>BIGINT (R)</t>
  </si>
  <si>
    <t>BINARY (R)</t>
  </si>
  <si>
    <t>BINLOG</t>
  </si>
  <si>
    <t>BIT</t>
  </si>
  <si>
    <t>BLOB (R)</t>
  </si>
  <si>
    <t>BLOCK</t>
  </si>
  <si>
    <t>BOOL</t>
  </si>
  <si>
    <t>BOOLEAN</t>
  </si>
  <si>
    <t>BOTH (R)</t>
  </si>
  <si>
    <t>BTREE</t>
  </si>
  <si>
    <t>BY (R)</t>
  </si>
  <si>
    <t>BYTE</t>
  </si>
  <si>
    <t>CACHE</t>
  </si>
  <si>
    <t>CALL (R)</t>
  </si>
  <si>
    <t>CASCADE (R)</t>
  </si>
  <si>
    <t>CASCADED</t>
  </si>
  <si>
    <t>CASE (R)</t>
  </si>
  <si>
    <t>CHAIN</t>
  </si>
  <si>
    <t>CHANGE (R)</t>
  </si>
  <si>
    <t>CHANGED</t>
  </si>
  <si>
    <t>CHAR (R)</t>
  </si>
  <si>
    <t>CHARACTER (R)</t>
  </si>
  <si>
    <t>CHARSET</t>
  </si>
  <si>
    <t>CHECK (R)</t>
  </si>
  <si>
    <t>CHECKSUM</t>
  </si>
  <si>
    <t>CIPHER</t>
  </si>
  <si>
    <t>CLIENT</t>
  </si>
  <si>
    <t>CLOSE</t>
  </si>
  <si>
    <t>CODE</t>
  </si>
  <si>
    <t>COLLATE (R)</t>
  </si>
  <si>
    <t>COLLATION</t>
  </si>
  <si>
    <t>COLUMN (R)</t>
  </si>
  <si>
    <t>COLUMNS</t>
  </si>
  <si>
    <t>COMMENT</t>
  </si>
  <si>
    <t>COMMIT</t>
  </si>
  <si>
    <t>COMMITTED</t>
  </si>
  <si>
    <t>COMPACT</t>
  </si>
  <si>
    <t>COMPRESSED</t>
  </si>
  <si>
    <t>CONCURRENT</t>
  </si>
  <si>
    <t>CONDITION (R)</t>
  </si>
  <si>
    <t>CONNECTION</t>
  </si>
  <si>
    <t>CONSISTENT</t>
  </si>
  <si>
    <t>CONSTRAINT (R)</t>
  </si>
  <si>
    <t>CONTAINS</t>
  </si>
  <si>
    <t>CONTEXT</t>
  </si>
  <si>
    <t>CONTINUE (R)</t>
  </si>
  <si>
    <t>CONVERT (R)</t>
  </si>
  <si>
    <t>CPU</t>
  </si>
  <si>
    <t>CREATE (R)</t>
  </si>
  <si>
    <t>CROSS (R)</t>
  </si>
  <si>
    <t>CUBE</t>
  </si>
  <si>
    <t>CURRENT_DATE (R)</t>
  </si>
  <si>
    <t>CURRENT_TIME (R)</t>
  </si>
  <si>
    <t>CURRENT_TIMESTAMP (R)</t>
  </si>
  <si>
    <t>CURRENT_USER (R)</t>
  </si>
  <si>
    <t>CURSOR (R)</t>
  </si>
  <si>
    <t>DATA</t>
  </si>
  <si>
    <t>DATABASE (R)</t>
  </si>
  <si>
    <t>DATABASES (R)</t>
  </si>
  <si>
    <t>DATE</t>
  </si>
  <si>
    <t>DATETIME</t>
  </si>
  <si>
    <t>DAY</t>
  </si>
  <si>
    <t>DAY_HOUR (R)</t>
  </si>
  <si>
    <t>DAY_MICROSECOND (R)</t>
  </si>
  <si>
    <t>DAY_MINUTE (R)</t>
  </si>
  <si>
    <t>DAY_SECOND (R)</t>
  </si>
  <si>
    <t>DEALLOCATE</t>
  </si>
  <si>
    <t>DEC (R)</t>
  </si>
  <si>
    <t>DECIMAL (R)</t>
  </si>
  <si>
    <t>DECLARE (R)</t>
  </si>
  <si>
    <t>DEFAULT (R)</t>
  </si>
  <si>
    <t>DEFINER</t>
  </si>
  <si>
    <t>DELAYED (R)</t>
  </si>
  <si>
    <t>DELAY_KEY_WRITE</t>
  </si>
  <si>
    <t>DELETE (R)</t>
  </si>
  <si>
    <t>DESC (R)</t>
  </si>
  <si>
    <t>DESCRIBE (R)</t>
  </si>
  <si>
    <t>DES_KEY_FILE</t>
  </si>
  <si>
    <t>DETERMINISTIC (R)</t>
  </si>
  <si>
    <t>DIRECTORY</t>
  </si>
  <si>
    <t>DISABLE</t>
  </si>
  <si>
    <t>DISCARD</t>
  </si>
  <si>
    <t>DISTINCT (R)</t>
  </si>
  <si>
    <t>DISTINCTROW (R)</t>
  </si>
  <si>
    <t>DIV (R)</t>
  </si>
  <si>
    <t>DO</t>
  </si>
  <si>
    <t>DOUBLE (R)</t>
  </si>
  <si>
    <t>DROP (R)</t>
  </si>
  <si>
    <t>DUAL (R)</t>
  </si>
  <si>
    <t>DUMPFILE</t>
  </si>
  <si>
    <t>DUPLICATE</t>
  </si>
  <si>
    <t>DYNAMIC</t>
  </si>
  <si>
    <t>EACH (R)</t>
  </si>
  <si>
    <t>ELSE (R)</t>
  </si>
  <si>
    <t>ELSEIF (R)</t>
  </si>
  <si>
    <t>ENABLE</t>
  </si>
  <si>
    <t>ENCLOSED (R)</t>
  </si>
  <si>
    <t>END</t>
  </si>
  <si>
    <t>ENGINE</t>
  </si>
  <si>
    <t>ENGINES</t>
  </si>
  <si>
    <t>ENUM</t>
  </si>
  <si>
    <t>ERRORS</t>
  </si>
  <si>
    <t>ESCAPE</t>
  </si>
  <si>
    <t>ESCAPED (R)</t>
  </si>
  <si>
    <t>EVENTS</t>
  </si>
  <si>
    <t>EXECUTE</t>
  </si>
  <si>
    <t>EXISTS (R)</t>
  </si>
  <si>
    <t>EXIT (R)</t>
  </si>
  <si>
    <t>EXPANSION</t>
  </si>
  <si>
    <t>EXPLAIN (R)</t>
  </si>
  <si>
    <t>EXTENDED</t>
  </si>
  <si>
    <t>FALSE (R)</t>
  </si>
  <si>
    <t>FAST</t>
  </si>
  <si>
    <t>FAULTS</t>
  </si>
  <si>
    <t>FETCH (R)</t>
  </si>
  <si>
    <t>FIELDS</t>
  </si>
  <si>
    <t>FILE</t>
  </si>
  <si>
    <t>FIRST</t>
  </si>
  <si>
    <t>FIXED</t>
  </si>
  <si>
    <t>FLOAT (R)</t>
  </si>
  <si>
    <t>FLOAT4 (R)</t>
  </si>
  <si>
    <t>FLOAT8 (R)</t>
  </si>
  <si>
    <t>FLUSH</t>
  </si>
  <si>
    <t>FOR (R)</t>
  </si>
  <si>
    <t>FORCE (R)</t>
  </si>
  <si>
    <t>FOREIGN (R)</t>
  </si>
  <si>
    <t>FOUND</t>
  </si>
  <si>
    <t>FRAC_SECOND</t>
  </si>
  <si>
    <t>FROM (R)</t>
  </si>
  <si>
    <t>FULL</t>
  </si>
  <si>
    <t>FULLTEXT (R)</t>
  </si>
  <si>
    <t>FUNCTION</t>
  </si>
  <si>
    <t>GEOMETRY</t>
  </si>
  <si>
    <t>GEOMETRYCOLLECTION</t>
  </si>
  <si>
    <t>GET_FORMAT</t>
  </si>
  <si>
    <t>GLOBAL</t>
  </si>
  <si>
    <t>GRANT (R)</t>
  </si>
  <si>
    <t>GRANTS</t>
  </si>
  <si>
    <t>GROUP (R)</t>
  </si>
  <si>
    <t>HANDLER</t>
  </si>
  <si>
    <t>HASH</t>
  </si>
  <si>
    <t>HAVING (R)</t>
  </si>
  <si>
    <t>HELP</t>
  </si>
  <si>
    <t>HIGH_PRIORITY (R)</t>
  </si>
  <si>
    <t>HOSTS</t>
  </si>
  <si>
    <t>HOUR</t>
  </si>
  <si>
    <t>HOUR_MICROSECOND (R)</t>
  </si>
  <si>
    <t>HOUR_MINUTE (R)</t>
  </si>
  <si>
    <t>HOUR_SECOND (R)</t>
  </si>
  <si>
    <t>IDENTIFIED</t>
  </si>
  <si>
    <t>IF (R)</t>
  </si>
  <si>
    <t>IGNORE (R)</t>
  </si>
  <si>
    <t>IMPORT</t>
  </si>
  <si>
    <t>IN (R)</t>
  </si>
  <si>
    <t>INDEX (R)</t>
  </si>
  <si>
    <t>INDEXES</t>
  </si>
  <si>
    <t>INFILE (R)</t>
  </si>
  <si>
    <t>INNER (R)</t>
  </si>
  <si>
    <t>INNOBASE</t>
  </si>
  <si>
    <t>INNODB</t>
  </si>
  <si>
    <t>INOUT (R)</t>
  </si>
  <si>
    <t>INSENSITIVE (R)</t>
  </si>
  <si>
    <t>INSERT (R)</t>
  </si>
  <si>
    <t>INSERT_METHOD</t>
  </si>
  <si>
    <t>INT (R)</t>
  </si>
  <si>
    <t>INT1 (R)</t>
  </si>
  <si>
    <t>INT2 (R)</t>
  </si>
  <si>
    <t>INT3 (R)</t>
  </si>
  <si>
    <t>INT4 (R)</t>
  </si>
  <si>
    <t>INT8 (R)</t>
  </si>
  <si>
    <t>INTEGER (R)</t>
  </si>
  <si>
    <t>INTERVAL (R)</t>
  </si>
  <si>
    <t>INTO (R)</t>
  </si>
  <si>
    <t>INVOKER</t>
  </si>
  <si>
    <t>IO</t>
  </si>
  <si>
    <t>IO_THREAD</t>
  </si>
  <si>
    <t>IPC</t>
  </si>
  <si>
    <t>IS (R)</t>
  </si>
  <si>
    <t>ISOLATION</t>
  </si>
  <si>
    <t>ISSUER</t>
  </si>
  <si>
    <t>ITERATE (R)</t>
  </si>
  <si>
    <t>JOIN (R)</t>
  </si>
  <si>
    <t>KEY (R)</t>
  </si>
  <si>
    <t>KEYS (R)</t>
  </si>
  <si>
    <t>KILL (R)</t>
  </si>
  <si>
    <t>LANGUAGE</t>
  </si>
  <si>
    <t>LAST</t>
  </si>
  <si>
    <t>LEADING (R)</t>
  </si>
  <si>
    <t>LEAVE (R)</t>
  </si>
  <si>
    <t>LEAVES</t>
  </si>
  <si>
    <t>LEFT (R)</t>
  </si>
  <si>
    <t>LEVEL</t>
  </si>
  <si>
    <t>LIKE (R)</t>
  </si>
  <si>
    <t>LIMIT (R)</t>
  </si>
  <si>
    <t>LINES (R)</t>
  </si>
  <si>
    <t>LINESTRING</t>
  </si>
  <si>
    <t>LOAD (R)</t>
  </si>
  <si>
    <t>LOCAL</t>
  </si>
  <si>
    <t>LOCALTIME (R)</t>
  </si>
  <si>
    <t>LOCALTIMESTAMP (R)</t>
  </si>
  <si>
    <t>LOCK (R)</t>
  </si>
  <si>
    <t>LOCKS</t>
  </si>
  <si>
    <t>LOGS</t>
  </si>
  <si>
    <t>LONG (R)</t>
  </si>
  <si>
    <t>LONGBLOB (R)</t>
  </si>
  <si>
    <t>LONGTEXT (R)</t>
  </si>
  <si>
    <t>LOOP (R)</t>
  </si>
  <si>
    <t>LOW_PRIORITY (R)</t>
  </si>
  <si>
    <t>MASTER</t>
  </si>
  <si>
    <t>MASTER_CONNECT_RETRY</t>
  </si>
  <si>
    <t>MASTER_HOST</t>
  </si>
  <si>
    <t>MASTER_LOG_FILE</t>
  </si>
  <si>
    <t>MASTER_LOG_POS</t>
  </si>
  <si>
    <t>MASTER_PASSWORD</t>
  </si>
  <si>
    <t>MASTER_PORT</t>
  </si>
  <si>
    <t>MASTER_SERVER_ID</t>
  </si>
  <si>
    <t>MASTER_SSL</t>
  </si>
  <si>
    <t>MASTER_SSL_CA</t>
  </si>
  <si>
    <t>MASTER_SSL_CAPATH</t>
  </si>
  <si>
    <t>MASTER_SSL_CERT</t>
  </si>
  <si>
    <t>MASTER_SSL_CIPHER</t>
  </si>
  <si>
    <t>MASTER_SSL_KEY</t>
  </si>
  <si>
    <t>MASTER_USER</t>
  </si>
  <si>
    <t>MATCH (R)</t>
  </si>
  <si>
    <t>MAX_CONNECTIONS_PER_HOUR</t>
  </si>
  <si>
    <t>MAX_QUERIES_PER_HOUR</t>
  </si>
  <si>
    <t>MAX_ROWS</t>
  </si>
  <si>
    <t>MAX_UPDATES_PER_HOUR</t>
  </si>
  <si>
    <t>MAX_USER_CONNECTIONS</t>
  </si>
  <si>
    <t>MEDIUM</t>
  </si>
  <si>
    <t>MEDIUMBLOB (R)</t>
  </si>
  <si>
    <t>MEDIUMINT (R)</t>
  </si>
  <si>
    <t>MEDIUMTEXT (R)</t>
  </si>
  <si>
    <t>MEMORY</t>
  </si>
  <si>
    <t>MERGE</t>
  </si>
  <si>
    <t>MICROSECOND</t>
  </si>
  <si>
    <t>MIDDLEINT (R)</t>
  </si>
  <si>
    <t>MIGRATE</t>
  </si>
  <si>
    <t>MINUTE</t>
  </si>
  <si>
    <t>MINUTE_MICROSECOND (R)</t>
  </si>
  <si>
    <t>MINUTE_SECOND (R)</t>
  </si>
  <si>
    <t>MIN_ROWS</t>
  </si>
  <si>
    <t>MOD (R)</t>
  </si>
  <si>
    <t>MODE</t>
  </si>
  <si>
    <t>MODIFIES (R)</t>
  </si>
  <si>
    <t>MODIFY</t>
  </si>
  <si>
    <t>MONTH</t>
  </si>
  <si>
    <t>MULTILINESTRING</t>
  </si>
  <si>
    <t>MULTIPOINT</t>
  </si>
  <si>
    <t>MULTIPOLYGON</t>
  </si>
  <si>
    <t>MUTEX</t>
  </si>
  <si>
    <t>NAME</t>
  </si>
  <si>
    <t>NAMES</t>
  </si>
  <si>
    <t>NATIONAL</t>
  </si>
  <si>
    <t>NATURAL (R)</t>
  </si>
  <si>
    <t>NCHAR</t>
  </si>
  <si>
    <t>NDB</t>
  </si>
  <si>
    <t>NDBCLUSTER</t>
  </si>
  <si>
    <t>NEW</t>
  </si>
  <si>
    <t>NEXT</t>
  </si>
  <si>
    <t>NO</t>
  </si>
  <si>
    <t>NONE</t>
  </si>
  <si>
    <t>NOT (R)</t>
  </si>
  <si>
    <t>NO_WRITE_TO_BINLOG (R)</t>
  </si>
  <si>
    <t>NULL (R)</t>
  </si>
  <si>
    <t>NUMERIC (R)</t>
  </si>
  <si>
    <t>NVARCHAR</t>
  </si>
  <si>
    <t>OFFSET</t>
  </si>
  <si>
    <t>OLD_PASSWORD</t>
  </si>
  <si>
    <t>ON (R)</t>
  </si>
  <si>
    <t>ONE</t>
  </si>
  <si>
    <t>ONE_SHOT</t>
  </si>
  <si>
    <t>OPEN</t>
  </si>
  <si>
    <t>OPTIMIZE (R)</t>
  </si>
  <si>
    <t>OPTION (R)</t>
  </si>
  <si>
    <t>OPTIONALLY (R)</t>
  </si>
  <si>
    <t>OR (R)</t>
  </si>
  <si>
    <t>ORDER (R)</t>
  </si>
  <si>
    <t>OUT (R)</t>
  </si>
  <si>
    <t>OUTER (R)</t>
  </si>
  <si>
    <t>OUTFILE (R)</t>
  </si>
  <si>
    <t>PACK_KEYS</t>
  </si>
  <si>
    <t>PAGE</t>
  </si>
  <si>
    <t>PARTIAL</t>
  </si>
  <si>
    <t>PASSWORD</t>
  </si>
  <si>
    <t>PHASE</t>
  </si>
  <si>
    <t>POINT</t>
  </si>
  <si>
    <t>POLYGON</t>
  </si>
  <si>
    <t>PRECISION (R)</t>
  </si>
  <si>
    <t>PREPARE</t>
  </si>
  <si>
    <t>PREV</t>
  </si>
  <si>
    <t>PRIMARY (R)</t>
  </si>
  <si>
    <t>PRIVILEGES</t>
  </si>
  <si>
    <t>PROCEDURE (R)</t>
  </si>
  <si>
    <t>PROCESSLIST</t>
  </si>
  <si>
    <t>PROFILE</t>
  </si>
  <si>
    <t>PROFILES</t>
  </si>
  <si>
    <t>PURGE (R)</t>
  </si>
  <si>
    <t>QUARTER</t>
  </si>
  <si>
    <t>QUERY</t>
  </si>
  <si>
    <t>QUICK</t>
  </si>
  <si>
    <t>RAID0</t>
  </si>
  <si>
    <t>RAID_CHUNKS</t>
  </si>
  <si>
    <t>RAID_CHUNKSIZE</t>
  </si>
  <si>
    <t>RAID_TYPE</t>
  </si>
  <si>
    <t>READ (R)</t>
  </si>
  <si>
    <t>READS (R)</t>
  </si>
  <si>
    <t>REAL (R)</t>
  </si>
  <si>
    <t>RECOVER</t>
  </si>
  <si>
    <t>REDUNDANT</t>
  </si>
  <si>
    <t>REFERENCES (R)</t>
  </si>
  <si>
    <t>REGEXP (R)</t>
  </si>
  <si>
    <t>RELAY_LOG_FILE</t>
  </si>
  <si>
    <t>RELAY_LOG_POS</t>
  </si>
  <si>
    <t>RELAY_THREAD</t>
  </si>
  <si>
    <t>RELEASE (R)</t>
  </si>
  <si>
    <t>RELOAD</t>
  </si>
  <si>
    <t>RENAME (R)</t>
  </si>
  <si>
    <t>REPAIR</t>
  </si>
  <si>
    <t>REPEAT (R)</t>
  </si>
  <si>
    <t>REPEATABLE</t>
  </si>
  <si>
    <t>REPLACE (R)</t>
  </si>
  <si>
    <t>REPLICATION</t>
  </si>
  <si>
    <t>REQUIRE (R)</t>
  </si>
  <si>
    <t>RESET</t>
  </si>
  <si>
    <t>RESTORE</t>
  </si>
  <si>
    <t>RESTRICT (R)</t>
  </si>
  <si>
    <t>RESUME</t>
  </si>
  <si>
    <t>RETURN (R)</t>
  </si>
  <si>
    <t>RETURNS</t>
  </si>
  <si>
    <t>REVOKE (R)</t>
  </si>
  <si>
    <t>RIGHT (R)</t>
  </si>
  <si>
    <t>RLIKE (R)</t>
  </si>
  <si>
    <t>ROLLBACK</t>
  </si>
  <si>
    <t>ROLLUP</t>
  </si>
  <si>
    <t>ROUTINE</t>
  </si>
  <si>
    <t>ROW</t>
  </si>
  <si>
    <t>ROWS</t>
  </si>
  <si>
    <t>ROW_FORMAT</t>
  </si>
  <si>
    <t>RTREE</t>
  </si>
  <si>
    <t>SAVEPOINT</t>
  </si>
  <si>
    <t>SCHEMA (R)</t>
  </si>
  <si>
    <t>SCHEMAS (R)</t>
  </si>
  <si>
    <t>SECOND</t>
  </si>
  <si>
    <t>SECOND_MICROSECOND (R)</t>
  </si>
  <si>
    <t>SECURITY</t>
  </si>
  <si>
    <t>SELECT (R)</t>
  </si>
  <si>
    <t>SENSITIVE (R)</t>
  </si>
  <si>
    <t>SEPARATOR (R)</t>
  </si>
  <si>
    <t>SERIAL</t>
  </si>
  <si>
    <t>SERIALIZABLE</t>
  </si>
  <si>
    <t>SESSION</t>
  </si>
  <si>
    <t>SET (R)</t>
  </si>
  <si>
    <t>SHARE</t>
  </si>
  <si>
    <t>SHOW (R)</t>
  </si>
  <si>
    <t>SHUTDOWN</t>
  </si>
  <si>
    <t>SIGNED</t>
  </si>
  <si>
    <t>SIMPLE</t>
  </si>
  <si>
    <t>SLAVE</t>
  </si>
  <si>
    <t>SMALLINT (R)</t>
  </si>
  <si>
    <t>SNAPSHOT</t>
  </si>
  <si>
    <t>SOME</t>
  </si>
  <si>
    <t>SONAME (R)</t>
  </si>
  <si>
    <t>SOUNDS</t>
  </si>
  <si>
    <t>SOURCE</t>
  </si>
  <si>
    <t>SPATIAL (R)</t>
  </si>
  <si>
    <t>SPECIFIC (R)</t>
  </si>
  <si>
    <t>SQL (R)</t>
  </si>
  <si>
    <t>SQLEXCEPTION (R)</t>
  </si>
  <si>
    <t>SQLSTATE (R)</t>
  </si>
  <si>
    <t>SQLWARNING (R)</t>
  </si>
  <si>
    <t>SQL_BIG_RESULT (R)</t>
  </si>
  <si>
    <t>SQL_BUFFER_RESULT</t>
  </si>
  <si>
    <t>SQL_CACHE</t>
  </si>
  <si>
    <t>SQL_CALC_FOUND_ROWS (R)</t>
  </si>
  <si>
    <t>SQL_NO_CACHE</t>
  </si>
  <si>
    <t>SQL_SMALL_RESULT (R)</t>
  </si>
  <si>
    <t>SQL_THREAD</t>
  </si>
  <si>
    <t>SQL_TSI_DAY</t>
  </si>
  <si>
    <t>SQL_TSI_FRAC_SECOND</t>
  </si>
  <si>
    <t>SQL_TSI_HOUR</t>
  </si>
  <si>
    <t>SQL_TSI_MINUTE</t>
  </si>
  <si>
    <t>SQL_TSI_MONTH</t>
  </si>
  <si>
    <t>SQL_TSI_QUARTER</t>
  </si>
  <si>
    <t>SQL_TSI_SECOND</t>
  </si>
  <si>
    <t>SQL_TSI_WEEK</t>
  </si>
  <si>
    <t>SQL_TSI_YEAR</t>
  </si>
  <si>
    <t>SSL (R)</t>
  </si>
  <si>
    <t>START</t>
  </si>
  <si>
    <t>STARTING (R)</t>
  </si>
  <si>
    <t>STATUS</t>
  </si>
  <si>
    <t>STOP</t>
  </si>
  <si>
    <t>STORAGE</t>
  </si>
  <si>
    <t>STRAIGHT_JOIN (R)</t>
  </si>
  <si>
    <t>STRING</t>
  </si>
  <si>
    <t>STRIPED</t>
  </si>
  <si>
    <t>SUBJECT</t>
  </si>
  <si>
    <t>SUPER</t>
  </si>
  <si>
    <t>SUSPEND</t>
  </si>
  <si>
    <t>SWAPS</t>
  </si>
  <si>
    <t>SWITCHES</t>
  </si>
  <si>
    <t>TABLE (R)</t>
  </si>
  <si>
    <t>TABLES</t>
  </si>
  <si>
    <t>TABLESPACE</t>
  </si>
  <si>
    <t>TEMPORARY</t>
  </si>
  <si>
    <t>TEMPTABLE</t>
  </si>
  <si>
    <t>TERMINATED (R)</t>
  </si>
  <si>
    <t>TEXT</t>
  </si>
  <si>
    <t>THEN (R)</t>
  </si>
  <si>
    <t>TIME</t>
  </si>
  <si>
    <t>TIMESTAMP</t>
  </si>
  <si>
    <t>TIMESTAMPADD</t>
  </si>
  <si>
    <t>TIMESTAMPDIFF</t>
  </si>
  <si>
    <t>TINYBLOB (R)</t>
  </si>
  <si>
    <t>TINYINT (R)</t>
  </si>
  <si>
    <t>TINYTEXT (R)</t>
  </si>
  <si>
    <t>TO (R)</t>
  </si>
  <si>
    <t>TRAILING (R)</t>
  </si>
  <si>
    <t>TRANSACTION</t>
  </si>
  <si>
    <t>TRIGGER (R)</t>
  </si>
  <si>
    <t>TRIGGERS</t>
  </si>
  <si>
    <t>TRUE (R)</t>
  </si>
  <si>
    <t>TRUNCATE</t>
  </si>
  <si>
    <t>TYPE</t>
  </si>
  <si>
    <t>TYPES</t>
  </si>
  <si>
    <t>UNCOMMITTED</t>
  </si>
  <si>
    <t>UNDEFINED</t>
  </si>
  <si>
    <t>UNDO (R)</t>
  </si>
  <si>
    <t>UNICODE</t>
  </si>
  <si>
    <t>UNION (R)</t>
  </si>
  <si>
    <t>UNIQUE (R)</t>
  </si>
  <si>
    <t>UNKNOWN</t>
  </si>
  <si>
    <t>UNLOCK (R)</t>
  </si>
  <si>
    <t>UNSIGNED (R)</t>
  </si>
  <si>
    <t>UNTIL</t>
  </si>
  <si>
    <t>UPDATE (R)</t>
  </si>
  <si>
    <t>UPGRADE</t>
  </si>
  <si>
    <t>USAGE (R)</t>
  </si>
  <si>
    <t>USE (R)</t>
  </si>
  <si>
    <t>USER</t>
  </si>
  <si>
    <t>USER_RESOURCES</t>
  </si>
  <si>
    <t>USE_FRM</t>
  </si>
  <si>
    <t>USING (R)</t>
  </si>
  <si>
    <t>UTC_DATE (R)</t>
  </si>
  <si>
    <t>UTC_TIME (R)</t>
  </si>
  <si>
    <t>UTC_TIMESTAMP (R)</t>
  </si>
  <si>
    <t>VALUE</t>
  </si>
  <si>
    <t>VALUES (R)</t>
  </si>
  <si>
    <t>VARBINARY (R)</t>
  </si>
  <si>
    <t>VARCHAR (R)</t>
  </si>
  <si>
    <t>VARCHARACTER (R)</t>
  </si>
  <si>
    <t>VARIABLES</t>
  </si>
  <si>
    <t>VARYING (R)</t>
  </si>
  <si>
    <t>VIEW</t>
  </si>
  <si>
    <t>WARNINGS</t>
  </si>
  <si>
    <t>WEEK</t>
  </si>
  <si>
    <t>WHEN (R)</t>
  </si>
  <si>
    <t>WHERE (R)</t>
  </si>
  <si>
    <t>WHILE (R)</t>
  </si>
  <si>
    <t>WITH (R)</t>
  </si>
  <si>
    <t>WORK</t>
  </si>
  <si>
    <t>WRITE (R)</t>
  </si>
  <si>
    <t>X509</t>
  </si>
  <si>
    <t>XA</t>
  </si>
  <si>
    <t>XOR (R)</t>
  </si>
  <si>
    <t>YEAR</t>
  </si>
  <si>
    <t>YEAR_MONTH (R)</t>
  </si>
  <si>
    <t>ZEROFILL (R)</t>
  </si>
  <si>
    <t>table_name*</t>
  </si>
  <si>
    <t>column_name*</t>
  </si>
  <si>
    <t xml:space="preserve">	`table_name` varchar(255) COLLATE utf8_unicode_ci NOT NULL,</t>
  </si>
  <si>
    <t xml:space="preserve">	`column_name` varchar(255) COLLATE utf8_unicode_ci NOT NULL,</t>
  </si>
  <si>
    <t>sales</t>
  </si>
  <si>
    <t>bills</t>
  </si>
  <si>
    <t>purchases</t>
  </si>
  <si>
    <t>salaries</t>
  </si>
  <si>
    <t>13x19</t>
  </si>
  <si>
    <t>13x40</t>
  </si>
  <si>
    <t>;</t>
  </si>
  <si>
    <t>Establish link between products and services for suppliers and sales</t>
  </si>
  <si>
    <t xml:space="preserve">	`proc_date` date NOT NULL,</t>
  </si>
  <si>
    <t xml:space="preserve">	`eff_date` date NOT NULL,</t>
  </si>
  <si>
    <t xml:space="preserve">	`delivery_date` date DEFAULT NULL,</t>
  </si>
  <si>
    <t>old_val</t>
  </si>
  <si>
    <t>new_val*</t>
  </si>
  <si>
    <t>purchase_details</t>
  </si>
  <si>
    <t>purchase_id*</t>
  </si>
  <si>
    <t>amount</t>
  </si>
  <si>
    <t>name</t>
  </si>
  <si>
    <t>Material MRP</t>
  </si>
  <si>
    <t>Listed price</t>
  </si>
  <si>
    <t>Merchant Discount</t>
  </si>
  <si>
    <t>Transportation charges</t>
  </si>
  <si>
    <t>Auto from x to Y</t>
  </si>
  <si>
    <t>Handling Charges</t>
  </si>
  <si>
    <t>3 daily labour batha</t>
  </si>
  <si>
    <t>Refreshment</t>
  </si>
  <si>
    <t>Raju's Tea</t>
  </si>
  <si>
    <t>expense_type_id</t>
  </si>
  <si>
    <t>expense_types</t>
  </si>
  <si>
    <t>-- Purchase Cost --</t>
  </si>
  <si>
    <t>--Transport &amp; Handling--</t>
  </si>
  <si>
    <t xml:space="preserve">	`old_val` varchar(255) COLLATE utf8_unicode_ci DEFAULT NULL,</t>
  </si>
  <si>
    <t xml:space="preserve">	`new_val` varchar(255) COLLATE utf8_unicode_ci NOT NULL,</t>
  </si>
  <si>
    <t xml:space="preserve">	`purchase_id` int(11) NOT NULL,</t>
  </si>
  <si>
    <t xml:space="preserve">	`expense_type_id` int(11) DEFAULT NULL,</t>
  </si>
  <si>
    <t xml:space="preserve">	`amount` varchar(255) COLLATE utf8_unicode_ci DEFAULT NULL,</t>
  </si>
  <si>
    <t>Database defaults</t>
  </si>
  <si>
    <t>tablePrefix</t>
  </si>
  <si>
    <t>DROP TABLE IF EXISTS `rb_statuses`;</t>
  </si>
  <si>
    <t xml:space="preserve">CREATE TABLE IF NOT EXISTS `rb_statuses` ( </t>
  </si>
  <si>
    <t>DROP TABLE IF EXISTS `rb_customer_groups`;</t>
  </si>
  <si>
    <t xml:space="preserve">CREATE TABLE IF NOT EXISTS `rb_customer_groups` ( </t>
  </si>
  <si>
    <t>DROP TABLE IF EXISTS `rb_customers`;</t>
  </si>
  <si>
    <t xml:space="preserve">CREATE TABLE IF NOT EXISTS `rb_customers` ( </t>
  </si>
  <si>
    <t>DROP TABLE IF EXISTS `rb_accounts`;</t>
  </si>
  <si>
    <t xml:space="preserve">CREATE TABLE IF NOT EXISTS `rb_accounts` ( </t>
  </si>
  <si>
    <t>DROP TABLE IF EXISTS `rb_sizes`;</t>
  </si>
  <si>
    <t xml:space="preserve">CREATE TABLE IF NOT EXISTS `rb_sizes` ( </t>
  </si>
  <si>
    <t>DROP TABLE IF EXISTS `rb_Services`;</t>
  </si>
  <si>
    <t xml:space="preserve">CREATE TABLE IF NOT EXISTS `rb_Services` ( </t>
  </si>
  <si>
    <t>DROP TABLE IF EXISTS `rb_account_trans`;</t>
  </si>
  <si>
    <t xml:space="preserve">CREATE TABLE IF NOT EXISTS `rb_account_trans` ( </t>
  </si>
  <si>
    <t>DROP TABLE IF EXISTS `rb_account_groups`;</t>
  </si>
  <si>
    <t xml:space="preserve">CREATE TABLE IF NOT EXISTS `rb_account_groups` ( </t>
  </si>
  <si>
    <t>DROP TABLE IF EXISTS `rb_discounts`;</t>
  </si>
  <si>
    <t xml:space="preserve">CREATE TABLE IF NOT EXISTS `rb_discounts` ( </t>
  </si>
  <si>
    <t>DROP TABLE IF EXISTS `rb_tran_types`;</t>
  </si>
  <si>
    <t xml:space="preserve">CREATE TABLE IF NOT EXISTS `rb_tran_types` ( </t>
  </si>
  <si>
    <t>DROP TABLE IF EXISTS `rb_transactions`;</t>
  </si>
  <si>
    <t xml:space="preserve">CREATE TABLE IF NOT EXISTS `rb_transactions` ( </t>
  </si>
  <si>
    <t>DROP TABLE IF EXISTS `rb_tran_codes`;</t>
  </si>
  <si>
    <t xml:space="preserve">CREATE TABLE IF NOT EXISTS `rb_tran_codes` ( </t>
  </si>
  <si>
    <t>DROP TABLE IF EXISTS `rb_salaries`;</t>
  </si>
  <si>
    <t xml:space="preserve">CREATE TABLE IF NOT EXISTS `rb_salaries` ( </t>
  </si>
  <si>
    <t>DROP TABLE IF EXISTS `rb_tran_statuses`;</t>
  </si>
  <si>
    <t xml:space="preserve">CREATE TABLE IF NOT EXISTS `rb_tran_statuses` ( </t>
  </si>
  <si>
    <t>DROP TABLE IF EXISTS `rb_bills`;</t>
  </si>
  <si>
    <t xml:space="preserve">CREATE TABLE IF NOT EXISTS `rb_bills` ( </t>
  </si>
  <si>
    <t>DROP TABLE IF EXISTS `rb_prices`;</t>
  </si>
  <si>
    <t xml:space="preserve">CREATE TABLE IF NOT EXISTS `rb_prices` ( </t>
  </si>
  <si>
    <t>DROP TABLE IF EXISTS `rb_purchases`;</t>
  </si>
  <si>
    <t xml:space="preserve">CREATE TABLE IF NOT EXISTS `rb_purchases` ( </t>
  </si>
  <si>
    <t>DROP TABLE IF EXISTS `rb_sales`;</t>
  </si>
  <si>
    <t xml:space="preserve">CREATE TABLE IF NOT EXISTS `rb_sales` ( </t>
  </si>
  <si>
    <t>DROP TABLE IF EXISTS `rb_suppliers`;</t>
  </si>
  <si>
    <t xml:space="preserve">CREATE TABLE IF NOT EXISTS `rb_suppliers` ( </t>
  </si>
  <si>
    <t>DROP TABLE IF EXISTS `rb_assets`;</t>
  </si>
  <si>
    <t xml:space="preserve">CREATE TABLE IF NOT EXISTS `rb_assets` ( </t>
  </si>
  <si>
    <t>DROP TABLE IF EXISTS `rb_products`;</t>
  </si>
  <si>
    <t xml:space="preserve">CREATE TABLE IF NOT EXISTS `rb_products` ( </t>
  </si>
  <si>
    <t>DROP TABLE IF EXISTS `rb_histories`;</t>
  </si>
  <si>
    <t xml:space="preserve">CREATE TABLE IF NOT EXISTS `rb_histories` ( </t>
  </si>
  <si>
    <t>DROP TABLE IF EXISTS `rb_purchase_details`;</t>
  </si>
  <si>
    <t xml:space="preserve">CREATE TABLE IF NOT EXISTS `rb_purchase_details` ( </t>
  </si>
  <si>
    <t>DROP TABLE IF EXISTS `rb_expense_types`;</t>
  </si>
  <si>
    <t xml:space="preserve">CREATE TABLE IF NOT EXISTS `rb_expense_types` ( </t>
  </si>
  <si>
    <t>Data Type</t>
  </si>
  <si>
    <t>length</t>
  </si>
  <si>
    <t>Key</t>
  </si>
  <si>
    <t>Unique</t>
  </si>
  <si>
    <t>table_name</t>
  </si>
  <si>
    <t>Column_name</t>
  </si>
  <si>
    <t>Sheet_ref</t>
  </si>
  <si>
    <t>Not NULL</t>
  </si>
  <si>
    <t>integer</t>
  </si>
  <si>
    <t>string</t>
  </si>
  <si>
    <t>code</t>
  </si>
  <si>
    <t>datetime</t>
  </si>
  <si>
    <t>date</t>
  </si>
  <si>
    <t>eff_date</t>
  </si>
  <si>
    <t>8, 2</t>
  </si>
  <si>
    <t xml:space="preserve">	`total_amnt` FLOAT(8, 2) DEFAULT 0.00,</t>
  </si>
  <si>
    <t>float</t>
  </si>
  <si>
    <t>$P$16</t>
  </si>
  <si>
    <t>$Q$16</t>
  </si>
  <si>
    <t>$B$30</t>
  </si>
  <si>
    <t>$C$30</t>
  </si>
  <si>
    <t>$A$30</t>
  </si>
  <si>
    <t>CA</t>
  </si>
  <si>
    <t>BA</t>
  </si>
  <si>
    <t>multiplier*</t>
  </si>
  <si>
    <t>CM</t>
  </si>
  <si>
    <t>IP</t>
  </si>
  <si>
    <t>OH</t>
  </si>
  <si>
    <t>CN</t>
  </si>
  <si>
    <t>DL</t>
  </si>
  <si>
    <t xml:space="preserve">	`multiplier` varchar(255) COLLATE utf8_unicode_ci NOT NULL,</t>
  </si>
  <si>
    <t>lft*</t>
  </si>
  <si>
    <t>rght*</t>
  </si>
  <si>
    <t xml:space="preserve">	`lft` int(11) NOT NULL,</t>
  </si>
  <si>
    <t xml:space="preserve">	`rght` int(11) NOT NULL,</t>
  </si>
  <si>
    <t>For supplier, make cell and email optional and add description column</t>
  </si>
  <si>
    <t>Don't make parent_id, lft and rght mandatory fields. User can't input anything</t>
  </si>
  <si>
    <t>Maintain create header as the head category and keep 1 as the default parent_id</t>
  </si>
  <si>
    <t>AC</t>
  </si>
  <si>
    <t>IN</t>
  </si>
  <si>
    <t>0.000</t>
  </si>
  <si>
    <t>0.100</t>
  </si>
  <si>
    <t>0.200</t>
  </si>
  <si>
    <t>0.300</t>
  </si>
  <si>
    <t>Phasma Bill</t>
  </si>
  <si>
    <t>TINYINT</t>
  </si>
  <si>
    <t>INT</t>
  </si>
  <si>
    <t>FLOAT</t>
  </si>
  <si>
    <t>DOUBLE</t>
  </si>
  <si>
    <t>VARCHAR</t>
  </si>
  <si>
    <t>DATEONLY</t>
  </si>
  <si>
    <t>TIMEONLY</t>
  </si>
  <si>
    <t>CUSTOM</t>
  </si>
  <si>
    <t>NULL</t>
  </si>
  <si>
    <t>CURRENT_TIMESTAMP</t>
  </si>
  <si>
    <t>Name</t>
  </si>
  <si>
    <t>DataType</t>
  </si>
  <si>
    <t>Length</t>
  </si>
  <si>
    <t>AllowNull</t>
  </si>
  <si>
    <t>Default</t>
  </si>
  <si>
    <t>Table</t>
  </si>
  <si>
    <t>Customers</t>
  </si>
  <si>
    <t>value</t>
  </si>
  <si>
    <t>Users</t>
  </si>
  <si>
    <t>ParentChild</t>
  </si>
  <si>
    <t>Extra</t>
  </si>
  <si>
    <t>Update on Current_Timestamp</t>
  </si>
  <si>
    <t>Predefined</t>
  </si>
  <si>
    <t>ID_NAME</t>
  </si>
  <si>
    <t>chitfund_id</t>
  </si>
  <si>
    <t>first_prem_date</t>
  </si>
  <si>
    <t>last_prem_date</t>
  </si>
  <si>
    <t>prem_date</t>
  </si>
  <si>
    <t>due_amnt</t>
  </si>
  <si>
    <t>paid_date</t>
  </si>
  <si>
    <t>chitfund_id*</t>
  </si>
  <si>
    <t>prem_date*</t>
  </si>
  <si>
    <t>$A$2</t>
  </si>
  <si>
    <t>$B$2</t>
  </si>
  <si>
    <t>$C$2</t>
  </si>
  <si>
    <t>$D$2</t>
  </si>
  <si>
    <t xml:space="preserve">	`last_prem_date` date DEFAULT NULL,</t>
  </si>
  <si>
    <t>frequency</t>
  </si>
  <si>
    <t xml:space="preserve">	`frequency` varchar(255) COLLATE utf8_unicode_ci NOT NULL,</t>
  </si>
  <si>
    <t xml:space="preserve">	`chitfund_id` int(11) NOT NULL,</t>
  </si>
  <si>
    <t xml:space="preserve">	`prem_date` date NOT NULL,</t>
  </si>
  <si>
    <t xml:space="preserve">	`paid_date` date DEFAULT NULL,</t>
  </si>
  <si>
    <t>due_amnt*</t>
  </si>
  <si>
    <t>late_fee_amnt</t>
  </si>
  <si>
    <t>paid_amnt</t>
  </si>
  <si>
    <t xml:space="preserve">	`due_amnt` FLOAT(8, 2) DEFAULT 0.00,</t>
  </si>
  <si>
    <t xml:space="preserve">	`late_fee_amnt` FLOAT(8, 2) DEFAULT 0.00,</t>
  </si>
  <si>
    <t xml:space="preserve">	`paid_amnt` FLOAT(8, 2) DEFAULT 0.00,</t>
  </si>
  <si>
    <t>prem_amnt*</t>
  </si>
  <si>
    <t>prem_amnt</t>
  </si>
  <si>
    <t xml:space="preserve">	`prem_amnt` FLOAT(8, 2) DEFAULT 0.00,</t>
  </si>
  <si>
    <t xml:space="preserve">	`modified` datetime DEFAULT NULL,</t>
  </si>
  <si>
    <t>mobile</t>
  </si>
  <si>
    <t>chitfunder_id</t>
  </si>
  <si>
    <t>paid_date*</t>
  </si>
  <si>
    <t>paid_amnt*</t>
  </si>
  <si>
    <t>tran_ref</t>
  </si>
  <si>
    <t xml:space="preserve">	`mobile` varchar(255) COLLATE utf8_unicode_ci DEFAULT NULL,</t>
  </si>
  <si>
    <t xml:space="preserve">	`tran_ref` varchar(255) COLLATE utf8_unicode_ci DEFAULT NULL,</t>
  </si>
  <si>
    <t xml:space="preserve">	`paid_date` date NOT NULL,</t>
  </si>
  <si>
    <t>creditor_id</t>
  </si>
  <si>
    <t>creditor_id*</t>
  </si>
  <si>
    <t>reference</t>
  </si>
  <si>
    <t>from_account_id</t>
  </si>
  <si>
    <t>to_account_id</t>
  </si>
  <si>
    <t>notes</t>
  </si>
  <si>
    <t xml:space="preserve">	`creditor_id` int(11) NOT NULL,</t>
  </si>
  <si>
    <t xml:space="preserve">	`reference` varchar(255) COLLATE utf8_unicode_ci DEFAULT NULL,</t>
  </si>
  <si>
    <t xml:space="preserve">	`from_account_id` int(11) NOT NULL,</t>
  </si>
  <si>
    <t xml:space="preserve">	`to_account_id` int(11) DEFAULT NULL,</t>
  </si>
  <si>
    <t xml:space="preserve">	`notes` varchar(255) COLLATE utf8_unicode_ci DEFAULT NULL,</t>
  </si>
  <si>
    <t>comments</t>
  </si>
  <si>
    <t xml:space="preserve">	`comments` varchar(255) COLLATE utf8_unicode_ci DEFAULT NULL,</t>
  </si>
  <si>
    <t>$A$33</t>
  </si>
  <si>
    <t>$B$33</t>
  </si>
  <si>
    <t>$C$33</t>
  </si>
  <si>
    <t>$D$33</t>
  </si>
  <si>
    <t>$E$33</t>
  </si>
  <si>
    <t>$F$33</t>
  </si>
  <si>
    <t>$G$33</t>
  </si>
  <si>
    <t>transfer_from</t>
  </si>
  <si>
    <t>transfer_to</t>
  </si>
  <si>
    <t>expense_from</t>
  </si>
  <si>
    <t>expense_to</t>
  </si>
  <si>
    <t>income_from</t>
  </si>
  <si>
    <t>income_to</t>
  </si>
  <si>
    <t>$A$22</t>
  </si>
  <si>
    <t>$B$22</t>
  </si>
  <si>
    <t>$C$22</t>
  </si>
  <si>
    <t>$D$22</t>
  </si>
  <si>
    <t>$E$22</t>
  </si>
  <si>
    <t>$F$22</t>
  </si>
  <si>
    <t>$G$22</t>
  </si>
  <si>
    <t>$H$22</t>
  </si>
  <si>
    <t>$I$22</t>
  </si>
  <si>
    <t>$A$25</t>
  </si>
  <si>
    <t>$B$25</t>
  </si>
  <si>
    <t>$C$25</t>
  </si>
  <si>
    <t>$D$25</t>
  </si>
  <si>
    <t>$E$25</t>
  </si>
  <si>
    <t>cb_</t>
  </si>
  <si>
    <t>Kothapally</t>
  </si>
  <si>
    <t>Bawa_2016</t>
  </si>
  <si>
    <t>M</t>
  </si>
  <si>
    <t>chitfunds</t>
  </si>
  <si>
    <t>chitfund_premiums</t>
  </si>
  <si>
    <t>chitfund_withdrawals</t>
  </si>
  <si>
    <t>creditors</t>
  </si>
  <si>
    <t>creditor_trans</t>
  </si>
  <si>
    <t>account_types</t>
  </si>
  <si>
    <t>account_type_id*</t>
  </si>
  <si>
    <t>chitfunders</t>
  </si>
  <si>
    <t>trans</t>
  </si>
  <si>
    <t>Boddu</t>
  </si>
  <si>
    <t>CR</t>
  </si>
  <si>
    <t>Bank savings and currrent accounts</t>
  </si>
  <si>
    <t>ICICI AC</t>
  </si>
  <si>
    <t>Currency</t>
  </si>
  <si>
    <t>INR</t>
  </si>
  <si>
    <t>INCOME</t>
  </si>
  <si>
    <t>People you owe or owing money</t>
  </si>
  <si>
    <t>All chitfund accounts</t>
  </si>
  <si>
    <t>Cash transfer to boddu</t>
  </si>
  <si>
    <t>EX</t>
  </si>
  <si>
    <t>EXPENSE</t>
  </si>
  <si>
    <t>TRANSFER</t>
  </si>
  <si>
    <t>TR</t>
  </si>
  <si>
    <t>General expense</t>
  </si>
  <si>
    <t>Chit EMI Paid</t>
  </si>
  <si>
    <t>currencies</t>
  </si>
  <si>
    <t>rate</t>
  </si>
  <si>
    <t>CAD</t>
  </si>
  <si>
    <t>USD</t>
  </si>
  <si>
    <t>currency_histories</t>
  </si>
  <si>
    <t>tranfer_types</t>
  </si>
  <si>
    <t>CREDIT</t>
  </si>
  <si>
    <t>DEBIT</t>
  </si>
  <si>
    <t>DR</t>
  </si>
  <si>
    <t>chitfund_statuses</t>
  </si>
  <si>
    <t>COMPLETED</t>
  </si>
  <si>
    <t>DISCONTINUED</t>
  </si>
  <si>
    <t>IA</t>
  </si>
  <si>
    <t>chitfund_prem_statuses</t>
  </si>
  <si>
    <t>SCHEDULED</t>
  </si>
  <si>
    <t>SC</t>
  </si>
  <si>
    <t>DROP TABLE IF EXISTS `cb_chitfunders`;</t>
  </si>
  <si>
    <t xml:space="preserve">CREATE TABLE IF NOT EXISTS `cb_chitfunders` ( </t>
  </si>
  <si>
    <t>DROP TABLE IF EXISTS `cb_chitfund_statuses`;</t>
  </si>
  <si>
    <t xml:space="preserve">CREATE TABLE IF NOT EXISTS `cb_chitfund_statuses` ( </t>
  </si>
  <si>
    <t>$G$2</t>
  </si>
  <si>
    <t>$H$2</t>
  </si>
  <si>
    <t>$I$2</t>
  </si>
  <si>
    <t>DROP TABLE IF EXISTS `cb_chitfund_prem_statuses`;</t>
  </si>
  <si>
    <t xml:space="preserve">CREATE TABLE IF NOT EXISTS `cb_chitfund_prem_statuses` ( </t>
  </si>
  <si>
    <t>$K$2</t>
  </si>
  <si>
    <t>$L$2</t>
  </si>
  <si>
    <t>$M$2</t>
  </si>
  <si>
    <t>DROP TABLE IF EXISTS `cb_chitfunds`;</t>
  </si>
  <si>
    <t xml:space="preserve">CREATE TABLE IF NOT EXISTS `cb_chitfunds` ( </t>
  </si>
  <si>
    <t>$A$7</t>
  </si>
  <si>
    <t>$B$7</t>
  </si>
  <si>
    <t>$C$7</t>
  </si>
  <si>
    <t>chitfund_status_code</t>
  </si>
  <si>
    <t>$D$7</t>
  </si>
  <si>
    <t xml:space="preserve">	`chitfund_status_code` varchar(255) COLLATE utf8_unicode_ci NOT NULL,</t>
  </si>
  <si>
    <t>$E$7</t>
  </si>
  <si>
    <t>$F$7</t>
  </si>
  <si>
    <t>$G$7</t>
  </si>
  <si>
    <t>$H$7</t>
  </si>
  <si>
    <t>$I$7</t>
  </si>
  <si>
    <t>$J$7</t>
  </si>
  <si>
    <t>DROP TABLE IF EXISTS `cb_chitfund_premiums`;</t>
  </si>
  <si>
    <t xml:space="preserve">CREATE TABLE IF NOT EXISTS `cb_chitfund_premiums` ( </t>
  </si>
  <si>
    <t>$A$10</t>
  </si>
  <si>
    <t>$B$10</t>
  </si>
  <si>
    <t>$C$10</t>
  </si>
  <si>
    <t>$D$10</t>
  </si>
  <si>
    <t>$E$10</t>
  </si>
  <si>
    <t>$F$10</t>
  </si>
  <si>
    <t>$G$10</t>
  </si>
  <si>
    <t>$H$10</t>
  </si>
  <si>
    <t>$I$10</t>
  </si>
  <si>
    <t>$J$10</t>
  </si>
  <si>
    <t>DROP TABLE IF EXISTS `cb_chitfund_withdrawals`;</t>
  </si>
  <si>
    <t xml:space="preserve">CREATE TABLE IF NOT EXISTS `cb_chitfund_withdrawals` ( </t>
  </si>
  <si>
    <t>DROP TABLE IF EXISTS `cb_creditors`;</t>
  </si>
  <si>
    <t xml:space="preserve">CREATE TABLE IF NOT EXISTS `cb_creditors` ( </t>
  </si>
  <si>
    <t>$A$17</t>
  </si>
  <si>
    <t>$B$17</t>
  </si>
  <si>
    <t>$C$17</t>
  </si>
  <si>
    <t>DROP TABLE IF EXISTS `cb_tranfer_types`;</t>
  </si>
  <si>
    <t xml:space="preserve">CREATE TABLE IF NOT EXISTS `cb_tranfer_types` ( </t>
  </si>
  <si>
    <t>$G$17</t>
  </si>
  <si>
    <t>$H$17</t>
  </si>
  <si>
    <t>$I$17</t>
  </si>
  <si>
    <t>DROP TABLE IF EXISTS `cb_creditor_trans`;</t>
  </si>
  <si>
    <t xml:space="preserve">CREATE TABLE IF NOT EXISTS `cb_creditor_trans` ( </t>
  </si>
  <si>
    <t>transfer_type_code</t>
  </si>
  <si>
    <t xml:space="preserve">	`transfer_type_code` varchar(255) COLLATE utf8_unicode_ci NOT NULL,</t>
  </si>
  <si>
    <t>DROP TABLE IF EXISTS `cb_account_types`;</t>
  </si>
  <si>
    <t xml:space="preserve">CREATE TABLE IF NOT EXISTS `cb_account_types` ( </t>
  </si>
  <si>
    <t>DROP TABLE IF EXISTS `cb_currencies`;</t>
  </si>
  <si>
    <t xml:space="preserve">CREATE TABLE IF NOT EXISTS `cb_currencies` ( </t>
  </si>
  <si>
    <t xml:space="preserve">	`eff_date` date DEFAULT NULL,</t>
  </si>
  <si>
    <t>DROP TABLE IF EXISTS `cb_accounts`;</t>
  </si>
  <si>
    <t xml:space="preserve">CREATE TABLE IF NOT EXISTS `cb_accounts` ( </t>
  </si>
  <si>
    <t>account_type_id</t>
  </si>
  <si>
    <t xml:space="preserve">	`account_type_id` int(11) NOT NULL,</t>
  </si>
  <si>
    <t>DROP TABLE IF EXISTS `cb_currency_histories`;</t>
  </si>
  <si>
    <t xml:space="preserve">CREATE TABLE IF NOT EXISTS `cb_currency_histories` ( </t>
  </si>
  <si>
    <t xml:space="preserve">	`rate` varchar(255) COLLATE utf8_unicode_ci DEFAULT NULL,</t>
  </si>
  <si>
    <t>DROP TABLE IF EXISTS `cb_tran_types`;</t>
  </si>
  <si>
    <t xml:space="preserve">CREATE TABLE IF NOT EXISTS `cb_tran_types` ( </t>
  </si>
  <si>
    <t>DROP TABLE IF EXISTS `cb_trans`;</t>
  </si>
  <si>
    <t xml:space="preserve">CREATE TABLE IF NOT EXISTS `cb_trans` ( </t>
  </si>
  <si>
    <t>tran_type_code</t>
  </si>
  <si>
    <t xml:space="preserve">	`tran_type_code` varchar(255) COLLATE utf8_unicode_ci NOT NULL,</t>
  </si>
  <si>
    <t>statement_id</t>
  </si>
  <si>
    <t>tran_status_code</t>
  </si>
  <si>
    <t>tran_statues</t>
  </si>
  <si>
    <t>UNBILLED</t>
  </si>
  <si>
    <t>UB</t>
  </si>
  <si>
    <t>BILLED</t>
  </si>
  <si>
    <t>BL</t>
  </si>
  <si>
    <t>CANCELLED</t>
  </si>
  <si>
    <t>statements</t>
  </si>
  <si>
    <t>Tag</t>
  </si>
  <si>
    <t>tran_from_date</t>
  </si>
  <si>
    <t>tran_to_date</t>
  </si>
  <si>
    <t>chitfund_prem_status_code</t>
  </si>
  <si>
    <t xml:space="preserve">	`chitfund_prem_status_code` varchar(255) COLLATE utf8_unicode_ci NOT NULL,</t>
  </si>
  <si>
    <t>DROP TABLE IF EXISTS `cb_tran_statues`;</t>
  </si>
  <si>
    <t xml:space="preserve">CREATE TABLE IF NOT EXISTS `cb_tran_statues` ( </t>
  </si>
  <si>
    <t>DROP TABLE IF EXISTS `cb_statements`;</t>
  </si>
  <si>
    <t xml:space="preserve">CREATE TABLE IF NOT EXISTS `cb_statements` ( </t>
  </si>
  <si>
    <t xml:space="preserve">	`tran_from_date` date DEFAULT NULL,</t>
  </si>
  <si>
    <t xml:space="preserve">	`tran_to_date` date DEFAULT NULL,</t>
  </si>
  <si>
    <t xml:space="preserve">	`statement_id` int(11) DEFAULT NULL,</t>
  </si>
  <si>
    <t>due_date</t>
  </si>
  <si>
    <t>billers</t>
  </si>
  <si>
    <t>Airtel4GHostpot</t>
  </si>
  <si>
    <t>Airtel 4G Dongle in home</t>
  </si>
  <si>
    <t>biller_id</t>
  </si>
  <si>
    <t>Airtel4G</t>
  </si>
  <si>
    <t>DI</t>
  </si>
  <si>
    <t>FROZEN</t>
  </si>
  <si>
    <t>FR</t>
  </si>
  <si>
    <t>bill_payments</t>
  </si>
  <si>
    <t>bill_id*</t>
  </si>
  <si>
    <t>bill_status_code</t>
  </si>
  <si>
    <t>bill_statuses</t>
  </si>
  <si>
    <t>bill_item_statuses</t>
  </si>
  <si>
    <t>bill_from_date</t>
  </si>
  <si>
    <t>bill_to_date</t>
  </si>
  <si>
    <t>bill_gen_date</t>
  </si>
  <si>
    <t>bill_from_day</t>
  </si>
  <si>
    <t>bill_to_day</t>
  </si>
  <si>
    <t>bill_gen_day</t>
  </si>
  <si>
    <t>bill_due_day</t>
  </si>
  <si>
    <t xml:space="preserve">	`due_date` date DEFAULT NULL,</t>
  </si>
  <si>
    <t>$K$10</t>
  </si>
  <si>
    <t>$A$14</t>
  </si>
  <si>
    <t>$B$14</t>
  </si>
  <si>
    <t>$C$14</t>
  </si>
  <si>
    <t>$D$14</t>
  </si>
  <si>
    <t>$E$14</t>
  </si>
  <si>
    <t>$F$14</t>
  </si>
  <si>
    <t>$G$14</t>
  </si>
  <si>
    <t>DROP TABLE IF EXISTS `cb_billers`;</t>
  </si>
  <si>
    <t xml:space="preserve">CREATE TABLE IF NOT EXISTS `cb_billers` ( </t>
  </si>
  <si>
    <t>DROP TABLE IF EXISTS `cb_bill_statuses`;</t>
  </si>
  <si>
    <t xml:space="preserve">CREATE TABLE IF NOT EXISTS `cb_bill_statuses` ( </t>
  </si>
  <si>
    <t>DROP TABLE IF EXISTS `cb_bill_item_statuses`;</t>
  </si>
  <si>
    <t xml:space="preserve">CREATE TABLE IF NOT EXISTS `cb_bill_item_statuses` ( </t>
  </si>
  <si>
    <t>$K$17</t>
  </si>
  <si>
    <t>$L$17</t>
  </si>
  <si>
    <t>$M$17</t>
  </si>
  <si>
    <t>DROP TABLE IF EXISTS `cb_bills`;</t>
  </si>
  <si>
    <t xml:space="preserve">CREATE TABLE IF NOT EXISTS `cb_bills` ( </t>
  </si>
  <si>
    <t xml:space="preserve">	`bill_from_day` varchar(255) COLLATE utf8_unicode_ci DEFAULT NULL,</t>
  </si>
  <si>
    <t xml:space="preserve">	`bill_to_day` varchar(255) COLLATE utf8_unicode_ci DEFAULT NULL,</t>
  </si>
  <si>
    <t xml:space="preserve">	`bill_gen_day` varchar(255) COLLATE utf8_unicode_ci DEFAULT NULL,</t>
  </si>
  <si>
    <t>$J$22</t>
  </si>
  <si>
    <t xml:space="preserve">	`bill_due_day` varchar(255) COLLATE utf8_unicode_ci DEFAULT NULL,</t>
  </si>
  <si>
    <t>$K$22</t>
  </si>
  <si>
    <t>$L$22</t>
  </si>
  <si>
    <t>DROP TABLE IF EXISTS `cb_bill_payments`;</t>
  </si>
  <si>
    <t xml:space="preserve">CREATE TABLE IF NOT EXISTS `cb_bill_payments` ( </t>
  </si>
  <si>
    <t>bill_id</t>
  </si>
  <si>
    <t xml:space="preserve">	`bill_id` int(11) NOT NULL,</t>
  </si>
  <si>
    <t xml:space="preserve">	`bill_gen_date` date DEFAULT NULL,</t>
  </si>
  <si>
    <t xml:space="preserve">	`bill_from_date` date DEFAULT NULL,</t>
  </si>
  <si>
    <t xml:space="preserve">	`bill_to_date` date DEFAULT NULL,</t>
  </si>
  <si>
    <t>$F$25</t>
  </si>
  <si>
    <t>$G$25</t>
  </si>
  <si>
    <t>$H$25</t>
  </si>
  <si>
    <t>bill_item_status_code</t>
  </si>
  <si>
    <t>$I$25</t>
  </si>
  <si>
    <t xml:space="preserve">	`bill_item_status_code` varchar(255) COLLATE utf8_unicode_ci NOT NULL,</t>
  </si>
  <si>
    <t>$J$25</t>
  </si>
  <si>
    <t>$K$25</t>
  </si>
  <si>
    <t>$L$25</t>
  </si>
  <si>
    <t>$M$25</t>
  </si>
  <si>
    <t>$D$30</t>
  </si>
  <si>
    <t>$E$30</t>
  </si>
  <si>
    <t>$A$37</t>
  </si>
  <si>
    <t>$B$37</t>
  </si>
  <si>
    <t>$C$37</t>
  </si>
  <si>
    <t>$D$37</t>
  </si>
  <si>
    <t>$E$37</t>
  </si>
  <si>
    <t>$F$37</t>
  </si>
  <si>
    <t>$G$37</t>
  </si>
  <si>
    <t>$H$37</t>
  </si>
  <si>
    <t>$I$37</t>
  </si>
  <si>
    <t>$K$37</t>
  </si>
  <si>
    <t>$L$37</t>
  </si>
  <si>
    <t>$M$37</t>
  </si>
  <si>
    <t>$N$37</t>
  </si>
  <si>
    <t>$A$42</t>
  </si>
  <si>
    <t>$B$42</t>
  </si>
  <si>
    <t>$C$42</t>
  </si>
  <si>
    <t>$D$42</t>
  </si>
  <si>
    <t>$E$42</t>
  </si>
  <si>
    <t>$F$42</t>
  </si>
  <si>
    <t>$K$42</t>
  </si>
  <si>
    <t>$L$42</t>
  </si>
  <si>
    <t>$M$42</t>
  </si>
  <si>
    <t>$N$42</t>
  </si>
  <si>
    <t>$A$49</t>
  </si>
  <si>
    <t>$B$49</t>
  </si>
  <si>
    <t>$C$49</t>
  </si>
  <si>
    <t>$E$49</t>
  </si>
  <si>
    <t>$F$49</t>
  </si>
  <si>
    <t>$G$49</t>
  </si>
  <si>
    <t>$I$49</t>
  </si>
  <si>
    <t>$J$49</t>
  </si>
  <si>
    <t>$K$49</t>
  </si>
  <si>
    <t>$L$49</t>
  </si>
  <si>
    <t>$M$49</t>
  </si>
  <si>
    <t>$A$54</t>
  </si>
  <si>
    <t>$B$54</t>
  </si>
  <si>
    <t>$C$54</t>
  </si>
  <si>
    <t>$D$54</t>
  </si>
  <si>
    <t>$E$54</t>
  </si>
  <si>
    <t>$F$54</t>
  </si>
  <si>
    <t>$G$54</t>
  </si>
  <si>
    <t>$H$54</t>
  </si>
  <si>
    <t>$I$54</t>
  </si>
  <si>
    <t>$J$54</t>
  </si>
  <si>
    <t>$K$54</t>
  </si>
  <si>
    <t>NCF16</t>
  </si>
  <si>
    <t>Nanda common fund</t>
  </si>
  <si>
    <t>Treasury</t>
  </si>
  <si>
    <t>Anju</t>
  </si>
  <si>
    <t>Satya</t>
  </si>
  <si>
    <t>Cnu</t>
  </si>
  <si>
    <t>Pravy</t>
  </si>
  <si>
    <t>funds</t>
  </si>
  <si>
    <t>fund_members</t>
  </si>
  <si>
    <t>fund_id</t>
  </si>
  <si>
    <t>payees</t>
  </si>
  <si>
    <t>fund_id*</t>
  </si>
  <si>
    <t>Payment - In</t>
  </si>
  <si>
    <t>PI</t>
  </si>
  <si>
    <t>Payment - Out</t>
  </si>
  <si>
    <t>PO</t>
  </si>
  <si>
    <t>Claim</t>
  </si>
  <si>
    <t>CL</t>
  </si>
  <si>
    <t>fund_trans</t>
  </si>
  <si>
    <t>fund_tran_types</t>
  </si>
  <si>
    <t>fund_member_id</t>
  </si>
  <si>
    <t>fund_tran_type_code</t>
  </si>
  <si>
    <t>Payment by Cnu</t>
  </si>
  <si>
    <t>Payment to Anju</t>
  </si>
  <si>
    <t>Expense Claim by Satya</t>
  </si>
  <si>
    <t>To help Anju clear Credit card</t>
  </si>
  <si>
    <t>fund_tran_id</t>
  </si>
  <si>
    <t>fund_tran_splits</t>
  </si>
  <si>
    <t>fund_tran_status_code</t>
  </si>
  <si>
    <t>DROP TABLE IF EXISTS `cb_funds`;</t>
  </si>
  <si>
    <t xml:space="preserve">CREATE TABLE IF NOT EXISTS `cb_funds` ( </t>
  </si>
  <si>
    <t>$A$60</t>
  </si>
  <si>
    <t>$B$60</t>
  </si>
  <si>
    <t>$C$60</t>
  </si>
  <si>
    <t>$D$60</t>
  </si>
  <si>
    <t>DROP TABLE IF EXISTS `cb_payees`;</t>
  </si>
  <si>
    <t xml:space="preserve">CREATE TABLE IF NOT EXISTS `cb_payees` ( </t>
  </si>
  <si>
    <t>DROP TABLE IF EXISTS `cb_fund_members`;</t>
  </si>
  <si>
    <t xml:space="preserve">CREATE TABLE IF NOT EXISTS `cb_fund_members` ( </t>
  </si>
  <si>
    <t>$A$63</t>
  </si>
  <si>
    <t>$B$63</t>
  </si>
  <si>
    <t xml:space="preserve">	`fund_id` int(11) NOT NULL,</t>
  </si>
  <si>
    <t>$C$63</t>
  </si>
  <si>
    <t>$D$63</t>
  </si>
  <si>
    <t>DROP TABLE IF EXISTS `cb_fund_tran_types`;</t>
  </si>
  <si>
    <t xml:space="preserve">CREATE TABLE IF NOT EXISTS `cb_fund_tran_types` ( </t>
  </si>
  <si>
    <t>$F$64</t>
  </si>
  <si>
    <t>$G$64</t>
  </si>
  <si>
    <t>$H$64</t>
  </si>
  <si>
    <t>DROP TABLE IF EXISTS `cb_fund_tran_status_code`;</t>
  </si>
  <si>
    <t xml:space="preserve">CREATE TABLE IF NOT EXISTS `cb_fund_tran_status_code` ( </t>
  </si>
  <si>
    <t>$J$64</t>
  </si>
  <si>
    <t>$K$64</t>
  </si>
  <si>
    <t>$L$64</t>
  </si>
  <si>
    <t>DROP TABLE IF EXISTS `cb_fund_trans`;</t>
  </si>
  <si>
    <t xml:space="preserve">CREATE TABLE IF NOT EXISTS `cb_fund_trans` ( </t>
  </si>
  <si>
    <t>$A$70</t>
  </si>
  <si>
    <t>$B$70</t>
  </si>
  <si>
    <t>$C$70</t>
  </si>
  <si>
    <t>$D$70</t>
  </si>
  <si>
    <t>amnt</t>
  </si>
  <si>
    <t>$E$70</t>
  </si>
  <si>
    <t xml:space="preserve">	`amnt` varchar(255) COLLATE utf8_unicode_ci NOT NULL,</t>
  </si>
  <si>
    <t>$F$70</t>
  </si>
  <si>
    <t>$G$70</t>
  </si>
  <si>
    <t>$H$70</t>
  </si>
  <si>
    <t>$I$70</t>
  </si>
  <si>
    <t>$J$70</t>
  </si>
  <si>
    <t>DROP TABLE IF EXISTS `cb_fund_tran_splits`;</t>
  </si>
  <si>
    <t xml:space="preserve">CREATE TABLE IF NOT EXISTS `cb_fund_tran_splits` ( </t>
  </si>
  <si>
    <t>$A$75</t>
  </si>
  <si>
    <t>$B$75</t>
  </si>
  <si>
    <t>$C$75</t>
  </si>
  <si>
    <t>$D$75</t>
  </si>
  <si>
    <t>$E$75</t>
  </si>
  <si>
    <t>trips</t>
  </si>
  <si>
    <t>trip_members</t>
  </si>
  <si>
    <t>trip_id*</t>
  </si>
  <si>
    <t>trip_trans</t>
  </si>
  <si>
    <t>trip_id</t>
  </si>
  <si>
    <t>trip_member_id</t>
  </si>
  <si>
    <t>trip_tran_splits</t>
  </si>
  <si>
    <t>trip_tran_id</t>
  </si>
  <si>
    <t>Pondicherry_Mar16</t>
  </si>
  <si>
    <t>Youth visit to Pondicherry</t>
  </si>
  <si>
    <t>Praveen</t>
  </si>
  <si>
    <t>Sridhar</t>
  </si>
  <si>
    <t>Arun</t>
  </si>
  <si>
    <t>Chintu</t>
  </si>
  <si>
    <t>Kiran</t>
  </si>
  <si>
    <t>Brekfast in Chennai</t>
  </si>
  <si>
    <t>tranfer_type_code</t>
  </si>
  <si>
    <t>trip_tran_id*</t>
  </si>
  <si>
    <t>fund_tran_id*</t>
  </si>
  <si>
    <t>fund_member_id*</t>
  </si>
  <si>
    <t xml:space="preserve">	`fund_member_id` int(11) NOT NULL,</t>
  </si>
  <si>
    <t xml:space="preserve">	`fund_tran_id` int(11) NOT NULL,</t>
  </si>
  <si>
    <t>DROP TABLE IF EXISTS `cb_trips`;</t>
  </si>
  <si>
    <t xml:space="preserve">CREATE TABLE IF NOT EXISTS `cb_trips` ( </t>
  </si>
  <si>
    <t>$A$84</t>
  </si>
  <si>
    <t>$B$84</t>
  </si>
  <si>
    <t>$C$84</t>
  </si>
  <si>
    <t>$D$84</t>
  </si>
  <si>
    <t>$E$84</t>
  </si>
  <si>
    <t>DROP TABLE IF EXISTS `cb_trip_trans`;</t>
  </si>
  <si>
    <t xml:space="preserve">CREATE TABLE IF NOT EXISTS `cb_trip_trans` ( </t>
  </si>
  <si>
    <t>$G$84</t>
  </si>
  <si>
    <t>$H$84</t>
  </si>
  <si>
    <t>$I$84</t>
  </si>
  <si>
    <t>$J$84</t>
  </si>
  <si>
    <t>$K$84</t>
  </si>
  <si>
    <t>$L$84</t>
  </si>
  <si>
    <t>$M$84</t>
  </si>
  <si>
    <t>DROP TABLE IF EXISTS `cb_trip_members`;</t>
  </si>
  <si>
    <t xml:space="preserve">CREATE TABLE IF NOT EXISTS `cb_trip_members` ( </t>
  </si>
  <si>
    <t>$A$87</t>
  </si>
  <si>
    <t>$B$87</t>
  </si>
  <si>
    <t xml:space="preserve">	`trip_id` int(11) NOT NULL,</t>
  </si>
  <si>
    <t>$C$87</t>
  </si>
  <si>
    <t>$D$87</t>
  </si>
  <si>
    <t>DROP TABLE IF EXISTS `cb_trip_tran_splits`;</t>
  </si>
  <si>
    <t xml:space="preserve">CREATE TABLE IF NOT EXISTS `cb_trip_tran_splits` ( </t>
  </si>
  <si>
    <t>$G$87</t>
  </si>
  <si>
    <t>$H$87</t>
  </si>
  <si>
    <t xml:space="preserve">	`trip_tran_id` int(11) NOT NULL,</t>
  </si>
  <si>
    <t>$I$87</t>
  </si>
  <si>
    <t>$J$87</t>
  </si>
  <si>
    <t>$K$87</t>
  </si>
  <si>
    <t>$L$87</t>
  </si>
  <si>
    <t>$A$97</t>
  </si>
  <si>
    <t>$B$97</t>
  </si>
  <si>
    <t>$C$97</t>
  </si>
  <si>
    <t>$E$97</t>
  </si>
  <si>
    <t>$F$97</t>
  </si>
  <si>
    <t>$G$97</t>
  </si>
  <si>
    <t>payee_id</t>
  </si>
  <si>
    <t>trip_member_id*</t>
  </si>
  <si>
    <t>notes*</t>
  </si>
  <si>
    <t>transfer_from^*</t>
  </si>
  <si>
    <t>transfer_to^*</t>
  </si>
  <si>
    <t>expense_from^*</t>
  </si>
  <si>
    <t>expense_to^*</t>
  </si>
  <si>
    <t>income_from^*</t>
  </si>
  <si>
    <t>income_to^*</t>
  </si>
  <si>
    <t>first_prem_date*</t>
  </si>
  <si>
    <t>$E$2</t>
  </si>
  <si>
    <t xml:space="preserve">	`payee_id` int(11) DEFAULT NULL,</t>
  </si>
  <si>
    <t xml:space="preserve">	`chitfunder_id` int(11) NOT NULL,</t>
  </si>
  <si>
    <t xml:space="preserve">	`first_prem_date` date NOT NULL,</t>
  </si>
  <si>
    <t xml:space="preserve">	`biller_id` int(11) NOT NULL,</t>
  </si>
  <si>
    <t xml:space="preserve">	`bill_status_code` varchar(255) COLLATE utf8_unicode_ci NOT NULL,</t>
  </si>
  <si>
    <t>$F$30</t>
  </si>
  <si>
    <t xml:space="preserve">	`transfer_from` TINYINT NOT NULL,</t>
  </si>
  <si>
    <t xml:space="preserve">	`transfer_to` TINYINT NOT NULL,</t>
  </si>
  <si>
    <t xml:space="preserve">	`expense_from` TINYINT NOT NULL,</t>
  </si>
  <si>
    <t xml:space="preserve">	`expense_to` TINYINT NOT NULL,</t>
  </si>
  <si>
    <t xml:space="preserve">	`income_from` TINYINT NOT NULL,</t>
  </si>
  <si>
    <t xml:space="preserve">	`income_to` TINYINT NOT NULL,</t>
  </si>
  <si>
    <t xml:space="preserve">	`Currency` varchar(255) COLLATE utf8_unicode_ci NOT NULL,</t>
  </si>
  <si>
    <t xml:space="preserve">	`Tag` varchar(255) COLLATE utf8_unicode_ci NOT NULL,</t>
  </si>
  <si>
    <t xml:space="preserve">	`tran_status_code` varchar(255) COLLATE utf8_unicode_ci NOT NULL,</t>
  </si>
  <si>
    <t xml:space="preserve">	`fund_tran_type_code` varchar(255) COLLATE utf8_unicode_ci NOT NULL,</t>
  </si>
  <si>
    <t xml:space="preserve">	`fund_tran_status_code` varchar(255) COLLATE utf8_unicode_ci NOT NULL,</t>
  </si>
  <si>
    <t xml:space="preserve">	`notes` varchar(255) COLLATE utf8_unicode_ci NOT NULL,</t>
  </si>
  <si>
    <t xml:space="preserve">	`trip_member_id` int(11) NOT NULL,</t>
  </si>
  <si>
    <t xml:space="preserve">	`tranfer_type_code` varchar(255) COLLATE utf8_unicode_ci NOT NULL,</t>
  </si>
  <si>
    <t>currency_id*</t>
  </si>
  <si>
    <t>frequency_id*</t>
  </si>
  <si>
    <t>frequencies</t>
  </si>
  <si>
    <t>Monthly</t>
  </si>
  <si>
    <t>Quarterly</t>
  </si>
  <si>
    <t>Q</t>
  </si>
  <si>
    <t>Yearly</t>
  </si>
  <si>
    <t>Y</t>
  </si>
  <si>
    <t>Weekly</t>
  </si>
  <si>
    <t>W</t>
  </si>
  <si>
    <t>Daily</t>
  </si>
  <si>
    <t>D</t>
  </si>
  <si>
    <t>creditdebit_id</t>
  </si>
  <si>
    <t>creditdebits</t>
  </si>
  <si>
    <t>bill_status_id</t>
  </si>
  <si>
    <t>Bi-Weekly</t>
  </si>
  <si>
    <t>Bi-Monthly</t>
  </si>
  <si>
    <t>Half-Yearly</t>
  </si>
  <si>
    <t>BW</t>
  </si>
  <si>
    <t>BM</t>
  </si>
  <si>
    <t>HY</t>
  </si>
  <si>
    <t>Anajaiah Nandagiri</t>
  </si>
  <si>
    <t>Gunashekar</t>
  </si>
  <si>
    <t>Cosmo Milk Man</t>
  </si>
  <si>
    <t>Chennai</t>
  </si>
  <si>
    <t>IFSC Code</t>
  </si>
  <si>
    <t>Bank Name</t>
  </si>
  <si>
    <t>Account Number</t>
  </si>
  <si>
    <t>Account Name</t>
  </si>
  <si>
    <t>ICICI BANK</t>
  </si>
  <si>
    <t>ICIC0000009</t>
  </si>
  <si>
    <t>N Praveen Kumar</t>
  </si>
  <si>
    <t>Yellagoud Boosa</t>
  </si>
  <si>
    <t>Bawa</t>
  </si>
  <si>
    <t>Dilshuknagar</t>
  </si>
  <si>
    <t>Yellagoud Chitfunds</t>
  </si>
  <si>
    <t>Veeresam Chitfunds</t>
  </si>
  <si>
    <t>Kavitha Chitfunds</t>
  </si>
  <si>
    <t>Veeresam</t>
  </si>
  <si>
    <t>Kavitha Nandagiri</t>
  </si>
  <si>
    <t>prem_count</t>
  </si>
  <si>
    <t>adj_amnt</t>
  </si>
  <si>
    <t>tran_id</t>
  </si>
  <si>
    <t>payee_id*</t>
  </si>
  <si>
    <t>chitfund_pay_statuses</t>
  </si>
  <si>
    <t>bill_pay_statuses</t>
  </si>
  <si>
    <t>chitfund_pay_status_id</t>
  </si>
  <si>
    <t>bill_pay_status_id</t>
  </si>
  <si>
    <t>Open</t>
  </si>
  <si>
    <t>from_date</t>
  </si>
  <si>
    <t>to_date</t>
  </si>
  <si>
    <t>policy_statuses</t>
  </si>
  <si>
    <t>policy_pay_statuses</t>
  </si>
  <si>
    <t>policy_premiums</t>
  </si>
  <si>
    <t>policy_id*</t>
  </si>
  <si>
    <t>policy_pay_status_id</t>
  </si>
  <si>
    <t>policy_withdrawals</t>
  </si>
  <si>
    <t>Yellagoud policies</t>
  </si>
  <si>
    <t>Veeresam policies</t>
  </si>
  <si>
    <t>Kavitha policies</t>
  </si>
  <si>
    <t>policies</t>
  </si>
  <si>
    <t>chitfund_providers</t>
  </si>
  <si>
    <t>chitfund_provider_id*</t>
  </si>
  <si>
    <t>policy_insurers</t>
  </si>
  <si>
    <t>policy_insurer_id*</t>
  </si>
  <si>
    <t>bill_providers</t>
  </si>
  <si>
    <t>bill_provider_id*</t>
  </si>
  <si>
    <t>fund_tran_type_id*</t>
  </si>
  <si>
    <t>fund_tran_statuses</t>
  </si>
  <si>
    <t>PAYEE</t>
  </si>
  <si>
    <t>Direct payment to payee's</t>
  </si>
  <si>
    <t>CREDITOR</t>
  </si>
  <si>
    <t>BANK AC</t>
  </si>
  <si>
    <t>CREDIT CARD</t>
  </si>
  <si>
    <t>CHITFUND</t>
  </si>
  <si>
    <t>INSURANCE</t>
  </si>
  <si>
    <t>BILL</t>
  </si>
  <si>
    <t>TRIP</t>
  </si>
  <si>
    <t>FUND</t>
  </si>
  <si>
    <t>All Credit card accounts</t>
  </si>
  <si>
    <t>All policies you hold</t>
  </si>
  <si>
    <t>All recurring bills</t>
  </si>
  <si>
    <t>Any trip groups you maintain</t>
  </si>
  <si>
    <t>Any funds you maintain or part of</t>
  </si>
  <si>
    <t>currency_id</t>
  </si>
  <si>
    <t>$F$2</t>
  </si>
  <si>
    <t xml:space="preserve">	`Bank Name` varchar(255) COLLATE utf8_unicode_ci DEFAULT NULL,</t>
  </si>
  <si>
    <t xml:space="preserve">	`IFSC Code` varchar(255) COLLATE utf8_unicode_ci DEFAULT NULL,</t>
  </si>
  <si>
    <t xml:space="preserve">	`Account Number` varchar(255) COLLATE utf8_unicode_ci DEFAULT NULL,</t>
  </si>
  <si>
    <t>$J$2</t>
  </si>
  <si>
    <t xml:space="preserve">	`Account Name` varchar(255) COLLATE utf8_unicode_ci DEFAULT NULL,</t>
  </si>
  <si>
    <t>DROP TABLE IF EXISTS `cb_frequencies`;</t>
  </si>
  <si>
    <t xml:space="preserve">CREATE TABLE IF NOT EXISTS `cb_frequencies` ( </t>
  </si>
  <si>
    <t>$N$2</t>
  </si>
  <si>
    <t>DROP TABLE IF EXISTS `cb_creditdebits`;</t>
  </si>
  <si>
    <t xml:space="preserve">CREATE TABLE IF NOT EXISTS `cb_creditdebits` ( </t>
  </si>
  <si>
    <t>$A$13</t>
  </si>
  <si>
    <t>$B$13</t>
  </si>
  <si>
    <t>$C$13</t>
  </si>
  <si>
    <t>$E$13</t>
  </si>
  <si>
    <t>$F$13</t>
  </si>
  <si>
    <t>$G$13</t>
  </si>
  <si>
    <t>$H$13</t>
  </si>
  <si>
    <t>$J$13</t>
  </si>
  <si>
    <t>$K$13</t>
  </si>
  <si>
    <t xml:space="preserve">	`currency_id` int(11) NOT NULL,</t>
  </si>
  <si>
    <t>$L$13</t>
  </si>
  <si>
    <t>$M$13</t>
  </si>
  <si>
    <t>$A$18</t>
  </si>
  <si>
    <t>$B$18</t>
  </si>
  <si>
    <t>$C$18</t>
  </si>
  <si>
    <t xml:space="preserve">	`from_date` date DEFAULT NULL,</t>
  </si>
  <si>
    <t>$D$18</t>
  </si>
  <si>
    <t xml:space="preserve">	`to_date` date DEFAULT NULL,</t>
  </si>
  <si>
    <t>$E$18</t>
  </si>
  <si>
    <t>$A$29</t>
  </si>
  <si>
    <t>$B$29</t>
  </si>
  <si>
    <t>$C$29</t>
  </si>
  <si>
    <t>$D$29</t>
  </si>
  <si>
    <t xml:space="preserve">	`payee_id` int(11) NOT NULL,</t>
  </si>
  <si>
    <t>$E$29</t>
  </si>
  <si>
    <t xml:space="preserve">	`creditdebit_id` int(11) DEFAULT NULL,</t>
  </si>
  <si>
    <t xml:space="preserve">	`tran_id` int(11) DEFAULT NULL,</t>
  </si>
  <si>
    <t>$H$33</t>
  </si>
  <si>
    <t>$I$33</t>
  </si>
  <si>
    <t>DROP TABLE IF EXISTS `cb_chitfund_providers`;</t>
  </si>
  <si>
    <t xml:space="preserve">CREATE TABLE IF NOT EXISTS `cb_chitfund_providers` ( </t>
  </si>
  <si>
    <t>DROP TABLE IF EXISTS `cb_chitfund_pay_statuses`;</t>
  </si>
  <si>
    <t xml:space="preserve">CREATE TABLE IF NOT EXISTS `cb_chitfund_pay_statuses` ( </t>
  </si>
  <si>
    <t>chitfund_provider_id</t>
  </si>
  <si>
    <t xml:space="preserve">	`chitfund_provider_id` int(11) NOT NULL,</t>
  </si>
  <si>
    <t>frequency_id</t>
  </si>
  <si>
    <t xml:space="preserve">	`frequency_id` int(11) NOT NULL,</t>
  </si>
  <si>
    <t xml:space="preserve">	`prem_count` varchar(255) COLLATE utf8_unicode_ci DEFAULT NULL,</t>
  </si>
  <si>
    <t xml:space="preserve">	`adj_amnt` FLOAT(8, 2) DEFAULT 0.00,</t>
  </si>
  <si>
    <t xml:space="preserve">	`chitfund_pay_status_id` int(11) DEFAULT NULL,</t>
  </si>
  <si>
    <t>DROP TABLE IF EXISTS `cb_policy_insurers`;</t>
  </si>
  <si>
    <t xml:space="preserve">CREATE TABLE IF NOT EXISTS `cb_policy_insurers` ( </t>
  </si>
  <si>
    <t>DROP TABLE IF EXISTS `cb_policy_statuses`;</t>
  </si>
  <si>
    <t xml:space="preserve">CREATE TABLE IF NOT EXISTS `cb_policy_statuses` ( </t>
  </si>
  <si>
    <t>DROP TABLE IF EXISTS `cb_policy_pay_statuses`;</t>
  </si>
  <si>
    <t xml:space="preserve">CREATE TABLE IF NOT EXISTS `cb_policy_pay_statuses` ( </t>
  </si>
  <si>
    <t>DROP TABLE IF EXISTS `cb_policies`;</t>
  </si>
  <si>
    <t xml:space="preserve">CREATE TABLE IF NOT EXISTS `cb_policies` ( </t>
  </si>
  <si>
    <t>policy_insurer_id</t>
  </si>
  <si>
    <t xml:space="preserve">	`policy_insurer_id` int(11) NOT NULL,</t>
  </si>
  <si>
    <t>DROP TABLE IF EXISTS `cb_policy_premiums`;</t>
  </si>
  <si>
    <t xml:space="preserve">CREATE TABLE IF NOT EXISTS `cb_policy_premiums` ( </t>
  </si>
  <si>
    <t>policy_id</t>
  </si>
  <si>
    <t xml:space="preserve">	`policy_id` int(11) NOT NULL,</t>
  </si>
  <si>
    <t xml:space="preserve">	`policy_pay_status_id` int(11) DEFAULT NULL,</t>
  </si>
  <si>
    <t>DROP TABLE IF EXISTS `cb_policy_withdrawals`;</t>
  </si>
  <si>
    <t xml:space="preserve">CREATE TABLE IF NOT EXISTS `cb_policy_withdrawals` ( </t>
  </si>
  <si>
    <t>DROP TABLE IF EXISTS `cb_bill_providers`;</t>
  </si>
  <si>
    <t xml:space="preserve">CREATE TABLE IF NOT EXISTS `cb_bill_providers` ( </t>
  </si>
  <si>
    <t>DROP TABLE IF EXISTS `cb_bill_pay_statuses`;</t>
  </si>
  <si>
    <t xml:space="preserve">CREATE TABLE IF NOT EXISTS `cb_bill_pay_statuses` ( </t>
  </si>
  <si>
    <t>bill_provider_id</t>
  </si>
  <si>
    <t xml:space="preserve">	`bill_provider_id` int(11) NOT NULL,</t>
  </si>
  <si>
    <t xml:space="preserve">	`bill_status_id` int(11) DEFAULT NULL,</t>
  </si>
  <si>
    <t xml:space="preserve">	`bill_pay_status_id` int(11) DEFAULT NULL,</t>
  </si>
  <si>
    <t>fund_tran_type_id</t>
  </si>
  <si>
    <t xml:space="preserve">	`fund_tran_type_id` int(11) NOT NULL,</t>
  </si>
  <si>
    <t>DROP TABLE IF EXISTS `cb_tran_statuses`;</t>
  </si>
  <si>
    <t xml:space="preserve">CREATE TABLE IF NOT EXISTS `cb_tran_statuses` ( </t>
  </si>
  <si>
    <t>tran_type_id</t>
  </si>
  <si>
    <t xml:space="preserve">	`from_account_id` int(11) DEFAULT NULL,</t>
  </si>
  <si>
    <t>tran_status_id</t>
  </si>
  <si>
    <t>chitfund_status_id*</t>
  </si>
  <si>
    <t>policy_status_id*</t>
  </si>
  <si>
    <t>chitfund_status_id</t>
  </si>
  <si>
    <t xml:space="preserve">	`chitfund_status_id` int(11) NOT NULL,</t>
  </si>
  <si>
    <t>policy_status_id</t>
  </si>
  <si>
    <t xml:space="preserve">	`policy_status_id` int(11) NOT NULL,</t>
  </si>
  <si>
    <t>bank_id*</t>
  </si>
  <si>
    <t>banks</t>
  </si>
  <si>
    <t>creditcards</t>
  </si>
  <si>
    <t>HDFC CC</t>
  </si>
  <si>
    <t>creditcard_id*</t>
  </si>
  <si>
    <t>creditcard_id</t>
  </si>
  <si>
    <t>DROP TABLE IF EXISTS `cb_banks`;</t>
  </si>
  <si>
    <t xml:space="preserve">CREATE TABLE IF NOT EXISTS `cb_banks` ( </t>
  </si>
  <si>
    <t>$A$41</t>
  </si>
  <si>
    <t>bank_id</t>
  </si>
  <si>
    <t>$B$41</t>
  </si>
  <si>
    <t xml:space="preserve">	`bank_id` int(11) NOT NULL,</t>
  </si>
  <si>
    <t>$C$41</t>
  </si>
  <si>
    <t>$D$41</t>
  </si>
  <si>
    <t>$E$41</t>
  </si>
  <si>
    <t>$F$41</t>
  </si>
  <si>
    <t>$G$41</t>
  </si>
  <si>
    <t>$H$41</t>
  </si>
  <si>
    <t>$I$41</t>
  </si>
  <si>
    <t>DROP TABLE IF EXISTS `cb_creditcards`;</t>
  </si>
  <si>
    <t xml:space="preserve">CREATE TABLE IF NOT EXISTS `cb_creditcards` ( </t>
  </si>
  <si>
    <t>$A$45</t>
  </si>
  <si>
    <t>$B$45</t>
  </si>
  <si>
    <t>$C$45</t>
  </si>
  <si>
    <t>$D$45</t>
  </si>
  <si>
    <t>$E$45</t>
  </si>
  <si>
    <t xml:space="preserve">	`creditcard_id` int(11) NOT NULL,</t>
  </si>
  <si>
    <t>$D$49</t>
  </si>
  <si>
    <t>$H$49</t>
  </si>
  <si>
    <t>$A$55</t>
  </si>
  <si>
    <t>$B$55</t>
  </si>
  <si>
    <t>$C$55</t>
  </si>
  <si>
    <t>$D$55</t>
  </si>
  <si>
    <t>$E$55</t>
  </si>
  <si>
    <t>$G$55</t>
  </si>
  <si>
    <t>$H$55</t>
  </si>
  <si>
    <t>$I$55</t>
  </si>
  <si>
    <t>$K$55</t>
  </si>
  <si>
    <t>$L$55</t>
  </si>
  <si>
    <t>$M$55</t>
  </si>
  <si>
    <t>$E$60</t>
  </si>
  <si>
    <t>$F$60</t>
  </si>
  <si>
    <t>$G$60</t>
  </si>
  <si>
    <t>$H$60</t>
  </si>
  <si>
    <t>$I$60</t>
  </si>
  <si>
    <t>$J$60</t>
  </si>
  <si>
    <t>$K$60</t>
  </si>
  <si>
    <t>$L$60</t>
  </si>
  <si>
    <t>$E$63</t>
  </si>
  <si>
    <t>$F$63</t>
  </si>
  <si>
    <t>$G$63</t>
  </si>
  <si>
    <t>$H$63</t>
  </si>
  <si>
    <t>$I$63</t>
  </si>
  <si>
    <t>$J$63</t>
  </si>
  <si>
    <t>$K$63</t>
  </si>
  <si>
    <t>$L$63</t>
  </si>
  <si>
    <t>$M$63</t>
  </si>
  <si>
    <t>$A$66</t>
  </si>
  <si>
    <t>$B$66</t>
  </si>
  <si>
    <t>$C$66</t>
  </si>
  <si>
    <t>$D$66</t>
  </si>
  <si>
    <t>$E$66</t>
  </si>
  <si>
    <t>$F$66</t>
  </si>
  <si>
    <t>$G$66</t>
  </si>
  <si>
    <t>$H$66</t>
  </si>
  <si>
    <t>$I$66</t>
  </si>
  <si>
    <t>$A$72</t>
  </si>
  <si>
    <t>$B$72</t>
  </si>
  <si>
    <t>$C$72</t>
  </si>
  <si>
    <t>$D$72</t>
  </si>
  <si>
    <t>$E$72</t>
  </si>
  <si>
    <t>$G$72</t>
  </si>
  <si>
    <t>$H$72</t>
  </si>
  <si>
    <t>$I$72</t>
  </si>
  <si>
    <t>$K$72</t>
  </si>
  <si>
    <t>$L$72</t>
  </si>
  <si>
    <t>$M$72</t>
  </si>
  <si>
    <t>$A$77</t>
  </si>
  <si>
    <t>$B$77</t>
  </si>
  <si>
    <t>$C$77</t>
  </si>
  <si>
    <t>$D$77</t>
  </si>
  <si>
    <t>$E$77</t>
  </si>
  <si>
    <t>$F$77</t>
  </si>
  <si>
    <t>$G$77</t>
  </si>
  <si>
    <t>$H$77</t>
  </si>
  <si>
    <t>$I$77</t>
  </si>
  <si>
    <t>$J$77</t>
  </si>
  <si>
    <t>$K$77</t>
  </si>
  <si>
    <t>$L$77</t>
  </si>
  <si>
    <t>$A$80</t>
  </si>
  <si>
    <t>$B$80</t>
  </si>
  <si>
    <t>$C$80</t>
  </si>
  <si>
    <t>$D$80</t>
  </si>
  <si>
    <t>$E$80</t>
  </si>
  <si>
    <t>$F$80</t>
  </si>
  <si>
    <t>$G$80</t>
  </si>
  <si>
    <t>$H$80</t>
  </si>
  <si>
    <t>$I$80</t>
  </si>
  <si>
    <t>$J$80</t>
  </si>
  <si>
    <t>$K$80</t>
  </si>
  <si>
    <t>$L$80</t>
  </si>
  <si>
    <t>$M$80</t>
  </si>
  <si>
    <t>$A$83</t>
  </si>
  <si>
    <t>$B$83</t>
  </si>
  <si>
    <t>$C$83</t>
  </si>
  <si>
    <t>$D$83</t>
  </si>
  <si>
    <t>$E$83</t>
  </si>
  <si>
    <t>$F$83</t>
  </si>
  <si>
    <t>$G$83</t>
  </si>
  <si>
    <t>$H$83</t>
  </si>
  <si>
    <t>$I$83</t>
  </si>
  <si>
    <t>$A$89</t>
  </si>
  <si>
    <t>$B$89</t>
  </si>
  <si>
    <t>$C$89</t>
  </si>
  <si>
    <t>$D$89</t>
  </si>
  <si>
    <t>$E$89</t>
  </si>
  <si>
    <t>$F$89</t>
  </si>
  <si>
    <t xml:space="preserve">	`creditcard_id` int(11) DEFAULT NULL,</t>
  </si>
  <si>
    <t>$H$89</t>
  </si>
  <si>
    <t>$I$89</t>
  </si>
  <si>
    <t>$J$89</t>
  </si>
  <si>
    <t>$L$89</t>
  </si>
  <si>
    <t>$M$89</t>
  </si>
  <si>
    <t>$N$89</t>
  </si>
  <si>
    <t>$A$94</t>
  </si>
  <si>
    <t>$B$94</t>
  </si>
  <si>
    <t>$C$94</t>
  </si>
  <si>
    <t>$D$94</t>
  </si>
  <si>
    <t>$E$94</t>
  </si>
  <si>
    <t>$F$94</t>
  </si>
  <si>
    <t>$G$94</t>
  </si>
  <si>
    <t>$H$94</t>
  </si>
  <si>
    <t>$I$94</t>
  </si>
  <si>
    <t>$J$94</t>
  </si>
  <si>
    <t>$K$94</t>
  </si>
  <si>
    <t>$L$94</t>
  </si>
  <si>
    <t>$M$94</t>
  </si>
  <si>
    <t>$D$97</t>
  </si>
  <si>
    <t>$H$97</t>
  </si>
  <si>
    <t>$I$97</t>
  </si>
  <si>
    <t>$J$97</t>
  </si>
  <si>
    <t>$K$97</t>
  </si>
  <si>
    <t>$L$97</t>
  </si>
  <si>
    <t>$M$97</t>
  </si>
  <si>
    <t>$N$97</t>
  </si>
  <si>
    <t>$O$97</t>
  </si>
  <si>
    <t>$A$112</t>
  </si>
  <si>
    <t>$B$112</t>
  </si>
  <si>
    <t>$C$112</t>
  </si>
  <si>
    <t>$D$112</t>
  </si>
  <si>
    <t>$E$112</t>
  </si>
  <si>
    <t>$F$112</t>
  </si>
  <si>
    <t>$G$112</t>
  </si>
  <si>
    <t>$A$115</t>
  </si>
  <si>
    <t>$B$115</t>
  </si>
  <si>
    <t>$C$115</t>
  </si>
  <si>
    <t>$D$115</t>
  </si>
  <si>
    <t>$E$115</t>
  </si>
  <si>
    <t>$F$115</t>
  </si>
  <si>
    <t>$G$115</t>
  </si>
  <si>
    <t>$H$115</t>
  </si>
  <si>
    <t>$I$115</t>
  </si>
  <si>
    <t>$A$118</t>
  </si>
  <si>
    <t>$B$118</t>
  </si>
  <si>
    <t>$C$118</t>
  </si>
  <si>
    <t>$D$118</t>
  </si>
  <si>
    <t>$E$118</t>
  </si>
  <si>
    <t>$F$118</t>
  </si>
  <si>
    <t>$G$118</t>
  </si>
  <si>
    <t>$I$118</t>
  </si>
  <si>
    <t>$J$118</t>
  </si>
  <si>
    <t>$K$118</t>
  </si>
  <si>
    <t>$L$118</t>
  </si>
  <si>
    <t>$M$118</t>
  </si>
  <si>
    <t>$A$130</t>
  </si>
  <si>
    <t>$B$130</t>
  </si>
  <si>
    <t>$C$130</t>
  </si>
  <si>
    <t>$D$130</t>
  </si>
  <si>
    <t>$E$130</t>
  </si>
  <si>
    <t>$F$130</t>
  </si>
  <si>
    <t>$A$133</t>
  </si>
  <si>
    <t>$B$133</t>
  </si>
  <si>
    <t>$C$133</t>
  </si>
  <si>
    <t>$D$133</t>
  </si>
  <si>
    <t>$E$133</t>
  </si>
  <si>
    <t>$G$135</t>
  </si>
  <si>
    <t>$H$135</t>
  </si>
  <si>
    <t>$I$135</t>
  </si>
  <si>
    <t>$A$140</t>
  </si>
  <si>
    <t>$B$140</t>
  </si>
  <si>
    <t>$C$140</t>
  </si>
  <si>
    <t>$D$140</t>
  </si>
  <si>
    <t>$E$140</t>
  </si>
  <si>
    <t>$F$140</t>
  </si>
  <si>
    <t>$G$140</t>
  </si>
  <si>
    <t>$H$140</t>
  </si>
  <si>
    <t>$I$140</t>
  </si>
  <si>
    <t>$J$140</t>
  </si>
  <si>
    <t>$A$145</t>
  </si>
  <si>
    <t>$B$145</t>
  </si>
  <si>
    <t>$C$145</t>
  </si>
  <si>
    <t>$D$145</t>
  </si>
  <si>
    <t>$E$145</t>
  </si>
  <si>
    <t>$F$145</t>
  </si>
  <si>
    <t>$A$163</t>
  </si>
  <si>
    <t>$B$163</t>
  </si>
  <si>
    <t>$C$163</t>
  </si>
  <si>
    <t>$D$163</t>
  </si>
  <si>
    <t>$E$163</t>
  </si>
  <si>
    <t>$F$163</t>
  </si>
  <si>
    <t>$G$163</t>
  </si>
  <si>
    <t>$H$163</t>
  </si>
  <si>
    <t>$I$163</t>
  </si>
  <si>
    <t>$G$175</t>
  </si>
  <si>
    <t>$H$175</t>
  </si>
  <si>
    <t>$I$175</t>
  </si>
  <si>
    <t>$K$175</t>
  </si>
  <si>
    <t>$L$175</t>
  </si>
  <si>
    <t>$M$175</t>
  </si>
  <si>
    <t>$A$180</t>
  </si>
  <si>
    <t>$B$180</t>
  </si>
  <si>
    <t>$C$180</t>
  </si>
  <si>
    <t>$D$180</t>
  </si>
  <si>
    <t>$E$180</t>
  </si>
  <si>
    <t>$F$180</t>
  </si>
  <si>
    <t>$G$180</t>
  </si>
  <si>
    <t>$H$180</t>
  </si>
  <si>
    <t>$I$180</t>
  </si>
  <si>
    <t>$J$180</t>
  </si>
  <si>
    <t>$K$180</t>
  </si>
  <si>
    <t>$L$180</t>
  </si>
  <si>
    <t>$M$180</t>
  </si>
  <si>
    <t>bank_trans</t>
  </si>
  <si>
    <t>creditcard_trans</t>
  </si>
  <si>
    <t>DROP TABLE IF EXISTS `cb_bank_trans`;</t>
  </si>
  <si>
    <t xml:space="preserve">CREATE TABLE IF NOT EXISTS `cb_bank_trans` ( </t>
  </si>
  <si>
    <t>DROP TABLE IF EXISTS `cb_creditcard_trans`;</t>
  </si>
  <si>
    <t xml:space="preserve">CREATE TABLE IF NOT EXISTS `cb_creditcard_trans` ( </t>
  </si>
  <si>
    <t>S.No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</si>
</sst>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\ h:mm:ss"/>
    <numFmt numFmtId="165" formatCode="0.000"/>
    <numFmt numFmtId="166" formatCode="0.0000"/>
  </numFmts>
  <fonts count="23" x14ac:knownFonts="1">
    <font>
      <sz val="10"/>
      <color rgb="FF000000"/>
      <name val="Arial"/>
    </font>
    <font>
      <b/>
      <sz val="10"/>
      <color rgb="FFFF0000"/>
      <name val="Arial"/>
    </font>
    <font>
      <sz val="10"/>
      <name val="Arial"/>
    </font>
    <font>
      <sz val="10"/>
      <color rgb="FFFF0000"/>
      <name val="Arial"/>
    </font>
    <font>
      <b/>
      <sz val="10"/>
      <color rgb="FF980000"/>
      <name val="Arial"/>
    </font>
    <font>
      <b/>
      <sz val="10"/>
      <color rgb="FFFF0000"/>
      <name val="Arial"/>
    </font>
    <font>
      <sz val="10"/>
      <name val="Arial"/>
    </font>
    <font>
      <b/>
      <sz val="10"/>
      <name val="Arial"/>
    </font>
    <font>
      <b/>
      <sz val="10"/>
      <name val="Arial"/>
      <family val="2"/>
    </font>
    <font>
      <b/>
      <sz val="10"/>
      <color rgb="FF0070C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u/>
      <sz val="10"/>
      <color theme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8"/>
      <color indexed="81"/>
      <name val="Tahoma"/>
      <charset val="1"/>
    </font>
    <font>
      <b/>
      <sz val="8"/>
      <color indexed="81"/>
      <name val="Tahoma"/>
      <charset val="1"/>
    </font>
    <font>
      <sz val="10"/>
      <color rgb="FFFF000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0"/>
      <color theme="0"/>
      <name val="Arial"/>
      <family val="2"/>
    </font>
    <font>
      <sz val="12"/>
      <color rgb="FF000000"/>
      <name val="Arial"/>
      <family val="2"/>
    </font>
    <font>
      <sz val="12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rgb="FFFFD966"/>
        <bgColor rgb="FFFFD966"/>
      </patternFill>
    </fill>
    <fill>
      <patternFill patternType="solid">
        <fgColor rgb="FFFFFF00"/>
        <bgColor rgb="FFFFFF00"/>
      </patternFill>
    </fill>
    <fill>
      <patternFill patternType="solid">
        <fgColor rgb="FFEA9999"/>
        <bgColor rgb="FFEA9999"/>
      </patternFill>
    </fill>
    <fill>
      <patternFill patternType="solid">
        <fgColor rgb="FFDD7E6B"/>
        <bgColor rgb="FFDD7E6B"/>
      </patternFill>
    </fill>
    <fill>
      <patternFill patternType="solid">
        <fgColor rgb="FFCC4125"/>
        <bgColor rgb="FFCC4125"/>
      </patternFill>
    </fill>
    <fill>
      <patternFill patternType="solid">
        <fgColor rgb="FF92D05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rgb="FFFFFF0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FDB8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-0.499984740745262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148">
    <xf numFmtId="0" fontId="0" fillId="0" borderId="0" xfId="0" applyFont="1" applyAlignment="1"/>
    <xf numFmtId="0" fontId="2" fillId="0" borderId="0" xfId="0" applyFont="1" applyAlignment="1"/>
    <xf numFmtId="0" fontId="1" fillId="3" borderId="1" xfId="0" applyFont="1" applyFill="1" applyBorder="1" applyAlignment="1"/>
    <xf numFmtId="0" fontId="1" fillId="4" borderId="1" xfId="0" applyFont="1" applyFill="1" applyBorder="1" applyAlignment="1"/>
    <xf numFmtId="0" fontId="3" fillId="0" borderId="0" xfId="0" applyFont="1" applyAlignment="1"/>
    <xf numFmtId="0" fontId="2" fillId="0" borderId="1" xfId="0" applyFont="1" applyBorder="1" applyAlignment="1"/>
    <xf numFmtId="0" fontId="4" fillId="0" borderId="1" xfId="0" applyFont="1" applyBorder="1" applyAlignment="1"/>
    <xf numFmtId="164" fontId="2" fillId="0" borderId="1" xfId="0" applyNumberFormat="1" applyFont="1" applyBorder="1" applyAlignment="1"/>
    <xf numFmtId="0" fontId="2" fillId="4" borderId="1" xfId="0" applyFont="1" applyFill="1" applyBorder="1" applyAlignment="1"/>
    <xf numFmtId="14" fontId="2" fillId="0" borderId="1" xfId="0" applyNumberFormat="1" applyFont="1" applyBorder="1" applyAlignment="1"/>
    <xf numFmtId="0" fontId="2" fillId="0" borderId="1" xfId="0" applyFont="1" applyBorder="1"/>
    <xf numFmtId="0" fontId="5" fillId="3" borderId="1" xfId="0" applyFont="1" applyFill="1" applyBorder="1" applyAlignment="1"/>
    <xf numFmtId="0" fontId="5" fillId="3" borderId="2" xfId="0" applyFont="1" applyFill="1" applyBorder="1" applyAlignment="1"/>
    <xf numFmtId="0" fontId="6" fillId="0" borderId="3" xfId="0" applyFont="1" applyBorder="1" applyAlignment="1">
      <alignment horizontal="right"/>
    </xf>
    <xf numFmtId="0" fontId="6" fillId="0" borderId="4" xfId="0" applyFont="1" applyBorder="1" applyAlignment="1"/>
    <xf numFmtId="0" fontId="1" fillId="5" borderId="1" xfId="0" applyFont="1" applyFill="1" applyBorder="1" applyAlignment="1"/>
    <xf numFmtId="0" fontId="5" fillId="5" borderId="2" xfId="0" applyFont="1" applyFill="1" applyBorder="1" applyAlignment="1"/>
    <xf numFmtId="0" fontId="5" fillId="5" borderId="1" xfId="0" applyFont="1" applyFill="1" applyBorder="1" applyAlignment="1"/>
    <xf numFmtId="0" fontId="2" fillId="5" borderId="1" xfId="0" applyFont="1" applyFill="1" applyBorder="1" applyAlignment="1"/>
    <xf numFmtId="0" fontId="6" fillId="5" borderId="4" xfId="0" applyFont="1" applyFill="1" applyBorder="1" applyAlignment="1"/>
    <xf numFmtId="0" fontId="6" fillId="5" borderId="3" xfId="0" applyFont="1" applyFill="1" applyBorder="1" applyAlignment="1">
      <alignment horizontal="right"/>
    </xf>
    <xf numFmtId="164" fontId="2" fillId="5" borderId="1" xfId="0" applyNumberFormat="1" applyFont="1" applyFill="1" applyBorder="1" applyAlignment="1"/>
    <xf numFmtId="0" fontId="6" fillId="6" borderId="1" xfId="0" applyFont="1" applyFill="1" applyBorder="1" applyAlignment="1"/>
    <xf numFmtId="0" fontId="6" fillId="0" borderId="1" xfId="0" applyFont="1" applyBorder="1" applyAlignment="1">
      <alignment horizontal="right"/>
    </xf>
    <xf numFmtId="0" fontId="7" fillId="6" borderId="1" xfId="0" applyFont="1" applyFill="1" applyBorder="1" applyAlignment="1"/>
    <xf numFmtId="0" fontId="2" fillId="6" borderId="1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22" fontId="2" fillId="0" borderId="1" xfId="0" applyNumberFormat="1" applyFont="1" applyBorder="1" applyAlignment="1"/>
    <xf numFmtId="0" fontId="8" fillId="3" borderId="1" xfId="0" applyFont="1" applyFill="1" applyBorder="1" applyAlignment="1"/>
    <xf numFmtId="0" fontId="9" fillId="3" borderId="1" xfId="0" applyFont="1" applyFill="1" applyBorder="1" applyAlignment="1"/>
    <xf numFmtId="0" fontId="1" fillId="7" borderId="1" xfId="0" applyFont="1" applyFill="1" applyBorder="1" applyAlignment="1"/>
    <xf numFmtId="0" fontId="2" fillId="8" borderId="1" xfId="0" applyFont="1" applyFill="1" applyBorder="1" applyAlignment="1"/>
    <xf numFmtId="0" fontId="10" fillId="0" borderId="0" xfId="0" applyFont="1" applyAlignment="1"/>
    <xf numFmtId="0" fontId="11" fillId="3" borderId="1" xfId="0" applyFont="1" applyFill="1" applyBorder="1" applyAlignment="1"/>
    <xf numFmtId="0" fontId="10" fillId="0" borderId="1" xfId="0" applyFont="1" applyBorder="1" applyAlignment="1"/>
    <xf numFmtId="0" fontId="1" fillId="9" borderId="1" xfId="0" applyFont="1" applyFill="1" applyBorder="1" applyAlignment="1"/>
    <xf numFmtId="0" fontId="2" fillId="10" borderId="1" xfId="0" applyFont="1" applyFill="1" applyBorder="1"/>
    <xf numFmtId="14" fontId="2" fillId="8" borderId="1" xfId="0" applyNumberFormat="1" applyFont="1" applyFill="1" applyBorder="1" applyAlignment="1"/>
    <xf numFmtId="0" fontId="1" fillId="6" borderId="2" xfId="0" applyFont="1" applyFill="1" applyBorder="1" applyAlignment="1"/>
    <xf numFmtId="0" fontId="1" fillId="3" borderId="6" xfId="0" applyFont="1" applyFill="1" applyBorder="1" applyAlignment="1"/>
    <xf numFmtId="0" fontId="0" fillId="0" borderId="0" xfId="0" applyFont="1" applyAlignment="1">
      <alignment horizontal="left" indent="2"/>
    </xf>
    <xf numFmtId="0" fontId="0" fillId="0" borderId="0" xfId="0" applyFont="1" applyAlignment="1">
      <alignment horizontal="left" indent="4"/>
    </xf>
    <xf numFmtId="0" fontId="0" fillId="0" borderId="0" xfId="0" applyFont="1" applyBorder="1" applyAlignment="1"/>
    <xf numFmtId="0" fontId="0" fillId="0" borderId="7" xfId="0" applyFont="1" applyBorder="1" applyAlignment="1"/>
    <xf numFmtId="0" fontId="0" fillId="0" borderId="8" xfId="0" applyFont="1" applyBorder="1" applyAlignment="1"/>
    <xf numFmtId="0" fontId="0" fillId="0" borderId="9" xfId="0" applyFont="1" applyBorder="1" applyAlignment="1"/>
    <xf numFmtId="0" fontId="0" fillId="0" borderId="10" xfId="0" applyFont="1" applyBorder="1" applyAlignment="1"/>
    <xf numFmtId="0" fontId="0" fillId="0" borderId="11" xfId="0" applyFont="1" applyBorder="1" applyAlignment="1"/>
    <xf numFmtId="0" fontId="0" fillId="0" borderId="12" xfId="0" applyFont="1" applyBorder="1" applyAlignment="1"/>
    <xf numFmtId="0" fontId="0" fillId="0" borderId="13" xfId="0" applyFont="1" applyBorder="1" applyAlignment="1"/>
    <xf numFmtId="0" fontId="0" fillId="0" borderId="14" xfId="0" applyFont="1" applyBorder="1" applyAlignment="1"/>
    <xf numFmtId="0" fontId="0" fillId="0" borderId="0" xfId="0" applyFont="1" applyAlignment="1"/>
    <xf numFmtId="0" fontId="0" fillId="11" borderId="0" xfId="0" applyFont="1" applyFill="1" applyAlignment="1"/>
    <xf numFmtId="0" fontId="0" fillId="0" borderId="0" xfId="0" applyFont="1" applyAlignment="1"/>
    <xf numFmtId="2" fontId="2" fillId="0" borderId="1" xfId="0" applyNumberFormat="1" applyFont="1" applyBorder="1"/>
    <xf numFmtId="0" fontId="1" fillId="3" borderId="0" xfId="0" applyFont="1" applyFill="1" applyBorder="1" applyAlignment="1"/>
    <xf numFmtId="0" fontId="2" fillId="0" borderId="0" xfId="0" applyFont="1" applyBorder="1" applyAlignment="1"/>
    <xf numFmtId="9" fontId="2" fillId="0" borderId="1" xfId="0" applyNumberFormat="1" applyFont="1" applyBorder="1"/>
    <xf numFmtId="0" fontId="8" fillId="0" borderId="1" xfId="0" quotePrefix="1" applyFont="1" applyBorder="1" applyAlignment="1"/>
    <xf numFmtId="0" fontId="0" fillId="0" borderId="7" xfId="0" applyFont="1" applyFill="1" applyBorder="1" applyAlignment="1"/>
    <xf numFmtId="0" fontId="0" fillId="0" borderId="9" xfId="0" applyFont="1" applyFill="1" applyBorder="1" applyAlignment="1"/>
    <xf numFmtId="0" fontId="0" fillId="0" borderId="15" xfId="0" applyFont="1" applyBorder="1" applyAlignment="1"/>
    <xf numFmtId="0" fontId="0" fillId="12" borderId="0" xfId="0" applyFont="1" applyFill="1" applyAlignment="1"/>
    <xf numFmtId="0" fontId="12" fillId="0" borderId="0" xfId="1" applyAlignment="1"/>
    <xf numFmtId="0" fontId="1" fillId="3" borderId="16" xfId="0" applyFont="1" applyFill="1" applyBorder="1" applyAlignment="1"/>
    <xf numFmtId="0" fontId="2" fillId="0" borderId="15" xfId="0" applyFont="1" applyBorder="1" applyAlignment="1"/>
    <xf numFmtId="0" fontId="0" fillId="0" borderId="15" xfId="0" applyBorder="1"/>
    <xf numFmtId="0" fontId="1" fillId="3" borderId="15" xfId="0" applyFont="1" applyFill="1" applyBorder="1" applyAlignment="1"/>
    <xf numFmtId="165" fontId="2" fillId="0" borderId="1" xfId="0" quotePrefix="1" applyNumberFormat="1" applyFont="1" applyBorder="1" applyAlignment="1"/>
    <xf numFmtId="17" fontId="0" fillId="0" borderId="0" xfId="0" applyNumberFormat="1" applyFont="1" applyAlignment="1"/>
    <xf numFmtId="0" fontId="0" fillId="0" borderId="0" xfId="0" applyFont="1" applyAlignment="1"/>
    <xf numFmtId="0" fontId="0" fillId="13" borderId="15" xfId="0" applyFont="1" applyFill="1" applyBorder="1" applyAlignment="1"/>
    <xf numFmtId="0" fontId="0" fillId="14" borderId="15" xfId="0" applyFont="1" applyFill="1" applyBorder="1" applyAlignment="1"/>
    <xf numFmtId="0" fontId="13" fillId="0" borderId="15" xfId="0" applyFont="1" applyBorder="1" applyAlignment="1"/>
    <xf numFmtId="0" fontId="13" fillId="13" borderId="15" xfId="0" applyFont="1" applyFill="1" applyBorder="1" applyAlignment="1"/>
    <xf numFmtId="0" fontId="13" fillId="14" borderId="15" xfId="0" applyFont="1" applyFill="1" applyBorder="1" applyAlignment="1"/>
    <xf numFmtId="0" fontId="14" fillId="0" borderId="0" xfId="0" applyFont="1" applyAlignment="1"/>
    <xf numFmtId="0" fontId="0" fillId="0" borderId="0" xfId="0" applyFont="1" applyAlignment="1"/>
    <xf numFmtId="0" fontId="0" fillId="0" borderId="21" xfId="0" applyFont="1" applyBorder="1" applyAlignment="1"/>
    <xf numFmtId="0" fontId="0" fillId="16" borderId="20" xfId="0" applyFont="1" applyFill="1" applyBorder="1" applyAlignment="1"/>
    <xf numFmtId="0" fontId="0" fillId="16" borderId="0" xfId="0" applyFont="1" applyFill="1" applyBorder="1" applyAlignment="1"/>
    <xf numFmtId="0" fontId="0" fillId="16" borderId="21" xfId="0" applyFont="1" applyFill="1" applyBorder="1" applyAlignment="1"/>
    <xf numFmtId="0" fontId="0" fillId="0" borderId="20" xfId="0" applyFont="1" applyBorder="1" applyAlignment="1"/>
    <xf numFmtId="0" fontId="0" fillId="0" borderId="22" xfId="0" applyFont="1" applyBorder="1" applyAlignment="1"/>
    <xf numFmtId="0" fontId="0" fillId="0" borderId="23" xfId="0" applyFont="1" applyBorder="1" applyAlignment="1"/>
    <xf numFmtId="14" fontId="0" fillId="0" borderId="23" xfId="0" applyNumberFormat="1" applyFont="1" applyBorder="1" applyAlignment="1"/>
    <xf numFmtId="0" fontId="0" fillId="0" borderId="24" xfId="0" applyFont="1" applyBorder="1" applyAlignment="1"/>
    <xf numFmtId="0" fontId="0" fillId="0" borderId="18" xfId="0" applyFont="1" applyBorder="1" applyAlignment="1"/>
    <xf numFmtId="0" fontId="0" fillId="0" borderId="19" xfId="0" applyFont="1" applyBorder="1" applyAlignment="1"/>
    <xf numFmtId="14" fontId="0" fillId="0" borderId="0" xfId="0" applyNumberFormat="1" applyFont="1" applyBorder="1" applyAlignment="1"/>
    <xf numFmtId="22" fontId="0" fillId="0" borderId="0" xfId="0" applyNumberFormat="1" applyFont="1" applyBorder="1" applyAlignment="1"/>
    <xf numFmtId="0" fontId="0" fillId="0" borderId="23" xfId="0" applyFont="1" applyFill="1" applyBorder="1" applyAlignment="1"/>
    <xf numFmtId="166" fontId="0" fillId="0" borderId="0" xfId="0" applyNumberFormat="1" applyFont="1" applyBorder="1" applyAlignment="1"/>
    <xf numFmtId="166" fontId="0" fillId="0" borderId="23" xfId="0" applyNumberFormat="1" applyFont="1" applyBorder="1" applyAlignment="1"/>
    <xf numFmtId="14" fontId="0" fillId="0" borderId="21" xfId="0" applyNumberFormat="1" applyFont="1" applyBorder="1" applyAlignment="1"/>
    <xf numFmtId="14" fontId="0" fillId="0" borderId="24" xfId="0" applyNumberFormat="1" applyFont="1" applyBorder="1" applyAlignment="1"/>
    <xf numFmtId="0" fontId="0" fillId="0" borderId="0" xfId="0" applyFont="1" applyFill="1" applyBorder="1" applyAlignment="1"/>
    <xf numFmtId="0" fontId="0" fillId="0" borderId="20" xfId="0" applyFont="1" applyFill="1" applyBorder="1" applyAlignment="1"/>
    <xf numFmtId="0" fontId="0" fillId="0" borderId="0" xfId="0" applyFont="1" applyAlignment="1"/>
    <xf numFmtId="0" fontId="0" fillId="0" borderId="0" xfId="0" applyFont="1" applyAlignment="1"/>
    <xf numFmtId="0" fontId="0" fillId="17" borderId="0" xfId="0" applyFont="1" applyFill="1" applyBorder="1" applyAlignment="1"/>
    <xf numFmtId="0" fontId="0" fillId="18" borderId="0" xfId="0" applyFont="1" applyFill="1" applyBorder="1" applyAlignment="1"/>
    <xf numFmtId="22" fontId="0" fillId="0" borderId="24" xfId="0" applyNumberFormat="1" applyFont="1" applyBorder="1" applyAlignment="1"/>
    <xf numFmtId="22" fontId="0" fillId="0" borderId="21" xfId="0" applyNumberFormat="1" applyFont="1" applyBorder="1" applyAlignment="1"/>
    <xf numFmtId="0" fontId="0" fillId="18" borderId="21" xfId="0" applyFont="1" applyFill="1" applyBorder="1" applyAlignment="1"/>
    <xf numFmtId="0" fontId="14" fillId="18" borderId="0" xfId="0" applyFont="1" applyFill="1" applyBorder="1" applyAlignment="1"/>
    <xf numFmtId="0" fontId="14" fillId="16" borderId="0" xfId="0" applyFont="1" applyFill="1" applyBorder="1" applyAlignment="1"/>
    <xf numFmtId="0" fontId="0" fillId="0" borderId="22" xfId="0" applyFont="1" applyFill="1" applyBorder="1" applyAlignment="1"/>
    <xf numFmtId="0" fontId="0" fillId="0" borderId="21" xfId="0" applyFont="1" applyFill="1" applyBorder="1" applyAlignment="1"/>
    <xf numFmtId="0" fontId="0" fillId="0" borderId="24" xfId="0" applyFont="1" applyFill="1" applyBorder="1" applyAlignment="1"/>
    <xf numFmtId="0" fontId="14" fillId="0" borderId="0" xfId="0" applyFont="1" applyBorder="1" applyAlignment="1"/>
    <xf numFmtId="0" fontId="0" fillId="0" borderId="0" xfId="0" applyFont="1" applyAlignment="1"/>
    <xf numFmtId="0" fontId="0" fillId="21" borderId="0" xfId="0" applyFont="1" applyFill="1" applyBorder="1" applyAlignment="1"/>
    <xf numFmtId="0" fontId="17" fillId="0" borderId="0" xfId="0" applyFont="1" applyBorder="1" applyAlignment="1"/>
    <xf numFmtId="0" fontId="17" fillId="0" borderId="0" xfId="0" applyFont="1" applyFill="1" applyBorder="1" applyAlignment="1"/>
    <xf numFmtId="0" fontId="14" fillId="18" borderId="21" xfId="0" applyFont="1" applyFill="1" applyBorder="1" applyAlignment="1"/>
    <xf numFmtId="22" fontId="0" fillId="0" borderId="23" xfId="0" applyNumberFormat="1" applyFont="1" applyBorder="1" applyAlignment="1"/>
    <xf numFmtId="0" fontId="0" fillId="0" borderId="18" xfId="0" applyFont="1" applyFill="1" applyBorder="1" applyAlignment="1"/>
    <xf numFmtId="0" fontId="0" fillId="0" borderId="19" xfId="0" applyFont="1" applyFill="1" applyBorder="1" applyAlignment="1"/>
    <xf numFmtId="0" fontId="0" fillId="0" borderId="0" xfId="0" applyFont="1" applyFill="1" applyAlignment="1"/>
    <xf numFmtId="0" fontId="20" fillId="22" borderId="18" xfId="0" applyFont="1" applyFill="1" applyBorder="1" applyAlignment="1"/>
    <xf numFmtId="0" fontId="20" fillId="22" borderId="17" xfId="0" applyFont="1" applyFill="1" applyBorder="1" applyAlignment="1">
      <alignment horizontal="left"/>
    </xf>
    <xf numFmtId="0" fontId="0" fillId="15" borderId="17" xfId="0" applyFont="1" applyFill="1" applyBorder="1" applyAlignment="1">
      <alignment horizontal="center"/>
    </xf>
    <xf numFmtId="0" fontId="0" fillId="15" borderId="18" xfId="0" applyFont="1" applyFill="1" applyBorder="1" applyAlignment="1">
      <alignment horizontal="center"/>
    </xf>
    <xf numFmtId="0" fontId="21" fillId="20" borderId="17" xfId="0" applyFont="1" applyFill="1" applyBorder="1" applyAlignment="1">
      <alignment horizontal="center"/>
    </xf>
    <xf numFmtId="0" fontId="21" fillId="20" borderId="18" xfId="0" applyFont="1" applyFill="1" applyBorder="1" applyAlignment="1">
      <alignment horizontal="center"/>
    </xf>
    <xf numFmtId="0" fontId="0" fillId="15" borderId="20" xfId="0" applyFont="1" applyFill="1" applyBorder="1" applyAlignment="1">
      <alignment horizontal="center"/>
    </xf>
    <xf numFmtId="0" fontId="0" fillId="15" borderId="0" xfId="0" applyFont="1" applyFill="1" applyBorder="1" applyAlignment="1">
      <alignment horizontal="center"/>
    </xf>
    <xf numFmtId="0" fontId="14" fillId="19" borderId="17" xfId="0" applyFont="1" applyFill="1" applyBorder="1" applyAlignment="1">
      <alignment horizontal="center"/>
    </xf>
    <xf numFmtId="0" fontId="0" fillId="19" borderId="18" xfId="0" applyFont="1" applyFill="1" applyBorder="1" applyAlignment="1">
      <alignment horizontal="center"/>
    </xf>
    <xf numFmtId="0" fontId="0" fillId="19" borderId="19" xfId="0" applyFont="1" applyFill="1" applyBorder="1" applyAlignment="1">
      <alignment horizontal="center"/>
    </xf>
    <xf numFmtId="0" fontId="21" fillId="15" borderId="20" xfId="0" applyFont="1" applyFill="1" applyBorder="1" applyAlignment="1">
      <alignment horizontal="center"/>
    </xf>
    <xf numFmtId="0" fontId="21" fillId="15" borderId="0" xfId="0" applyFont="1" applyFill="1" applyBorder="1" applyAlignment="1">
      <alignment horizontal="center"/>
    </xf>
    <xf numFmtId="0" fontId="0" fillId="20" borderId="17" xfId="0" applyFont="1" applyFill="1" applyBorder="1" applyAlignment="1">
      <alignment horizontal="center"/>
    </xf>
    <xf numFmtId="0" fontId="0" fillId="20" borderId="18" xfId="0" applyFont="1" applyFill="1" applyBorder="1" applyAlignment="1">
      <alignment horizontal="center"/>
    </xf>
    <xf numFmtId="0" fontId="0" fillId="19" borderId="17" xfId="0" applyFont="1" applyFill="1" applyBorder="1" applyAlignment="1">
      <alignment horizontal="center"/>
    </xf>
    <xf numFmtId="0" fontId="22" fillId="20" borderId="17" xfId="0" applyFont="1" applyFill="1" applyBorder="1" applyAlignment="1">
      <alignment horizontal="center"/>
    </xf>
    <xf numFmtId="0" fontId="22" fillId="20" borderId="18" xfId="0" applyFont="1" applyFill="1" applyBorder="1" applyAlignment="1">
      <alignment horizontal="center"/>
    </xf>
    <xf numFmtId="0" fontId="21" fillId="15" borderId="17" xfId="0" applyFont="1" applyFill="1" applyBorder="1" applyAlignment="1">
      <alignment horizontal="center"/>
    </xf>
    <xf numFmtId="0" fontId="21" fillId="15" borderId="18" xfId="0" applyFont="1" applyFill="1" applyBorder="1" applyAlignment="1">
      <alignment horizontal="center"/>
    </xf>
    <xf numFmtId="0" fontId="14" fillId="15" borderId="20" xfId="0" applyFont="1" applyFill="1" applyBorder="1" applyAlignment="1">
      <alignment horizontal="center"/>
    </xf>
    <xf numFmtId="0" fontId="1" fillId="11" borderId="0" xfId="0" applyFont="1" applyFill="1" applyAlignment="1">
      <alignment horizontal="center"/>
    </xf>
    <xf numFmtId="0" fontId="0" fillId="11" borderId="0" xfId="0" applyFont="1" applyFill="1" applyAlignment="1"/>
    <xf numFmtId="0" fontId="1" fillId="2" borderId="0" xfId="0" applyFont="1" applyFill="1" applyAlignment="1">
      <alignment horizontal="center"/>
    </xf>
    <xf numFmtId="0" fontId="0" fillId="0" borderId="0" xfId="0" applyFont="1" applyAlignment="1"/>
    <xf numFmtId="0" fontId="1" fillId="5" borderId="0" xfId="0" applyFont="1" applyFill="1" applyAlignment="1">
      <alignment horizontal="center"/>
    </xf>
    <xf numFmtId="0" fontId="1" fillId="11" borderId="5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6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DFDB81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12</xdr:col>
      <xdr:colOff>85725</xdr:colOff>
      <xdr:row>42</xdr:row>
      <xdr:rowOff>114300</xdr:rowOff>
    </xdr:to>
    <xdr:sp macro="" textlink="">
      <xdr:nvSpPr>
        <xdr:cNvPr id="1026" name="Rectangle 2" hidden="1">
          <a:extLst>
            <a:ext uri="{FF2B5EF4-FFF2-40B4-BE49-F238E27FC236}">
              <a16:creationId xmlns:a16="http://schemas.microsoft.com/office/drawing/2014/main" id="{00000000-0008-0000-0600-00000204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0</xdr:colOff>
      <xdr:row>0</xdr:row>
      <xdr:rowOff>0</xdr:rowOff>
    </xdr:from>
    <xdr:to>
      <xdr:col>12</xdr:col>
      <xdr:colOff>85725</xdr:colOff>
      <xdr:row>42</xdr:row>
      <xdr:rowOff>114300</xdr:rowOff>
    </xdr:to>
    <xdr:sp macro="" textlink="">
      <xdr:nvSpPr>
        <xdr:cNvPr id="2" name="Rectangle 2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552450</xdr:colOff>
      <xdr:row>48</xdr:row>
      <xdr:rowOff>76200</xdr:rowOff>
    </xdr:to>
    <xdr:sp macro="" textlink="">
      <xdr:nvSpPr>
        <xdr:cNvPr id="3" name="Rectangle 2" hidden="1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552450</xdr:colOff>
      <xdr:row>48</xdr:row>
      <xdr:rowOff>76200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552450</xdr:colOff>
      <xdr:row>48</xdr:row>
      <xdr:rowOff>76200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552450</xdr:colOff>
      <xdr:row>48</xdr:row>
      <xdr:rowOff>76200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552450</xdr:colOff>
      <xdr:row>48</xdr:row>
      <xdr:rowOff>76200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552450</xdr:colOff>
      <xdr:row>48</xdr:row>
      <xdr:rowOff>76200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552450</xdr:colOff>
      <xdr:row>48</xdr:row>
      <xdr:rowOff>76200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552450</xdr:colOff>
      <xdr:row>48</xdr:row>
      <xdr:rowOff>76200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13</xdr:col>
      <xdr:colOff>552450</xdr:colOff>
      <xdr:row>48</xdr:row>
      <xdr:rowOff>76200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58575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58575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58575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58575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58575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58575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58575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58575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58575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21" name="AutoShape 2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58575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22" name="Auto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1458575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23" name="AutoShape 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24" name="AutoShape 2">
          <a:extLst>
            <a:ext uri="{FF2B5EF4-FFF2-40B4-BE49-F238E27FC236}">
              <a16:creationId xmlns:a16="http://schemas.microsoft.com/office/drawing/2014/main" id="{00000000-0008-0000-0600-000000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25" name="AutoShape 2">
          <a:extLst>
            <a:ext uri="{FF2B5EF4-FFF2-40B4-BE49-F238E27FC236}">
              <a16:creationId xmlns:a16="http://schemas.microsoft.com/office/drawing/2014/main" id="{00000000-0008-0000-0600-000001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27" name="AutoShape 2">
          <a:extLst>
            <a:ext uri="{FF2B5EF4-FFF2-40B4-BE49-F238E27FC236}">
              <a16:creationId xmlns:a16="http://schemas.microsoft.com/office/drawing/2014/main" id="{00000000-0008-0000-0600-000003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28" name="AutoShape 2">
          <a:extLst>
            <a:ext uri="{FF2B5EF4-FFF2-40B4-BE49-F238E27FC236}">
              <a16:creationId xmlns:a16="http://schemas.microsoft.com/office/drawing/2014/main" id="{00000000-0008-0000-0600-000004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29" name="AutoShape 2">
          <a:extLst>
            <a:ext uri="{FF2B5EF4-FFF2-40B4-BE49-F238E27FC236}">
              <a16:creationId xmlns:a16="http://schemas.microsoft.com/office/drawing/2014/main" id="{00000000-0008-0000-0600-000005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30" name="AutoShape 2">
          <a:extLst>
            <a:ext uri="{FF2B5EF4-FFF2-40B4-BE49-F238E27FC236}">
              <a16:creationId xmlns:a16="http://schemas.microsoft.com/office/drawing/2014/main" id="{00000000-0008-0000-0600-000006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31" name="AutoShape 2">
          <a:extLst>
            <a:ext uri="{FF2B5EF4-FFF2-40B4-BE49-F238E27FC236}">
              <a16:creationId xmlns:a16="http://schemas.microsoft.com/office/drawing/2014/main" id="{00000000-0008-0000-0600-000007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32" name="AutoShape 2">
          <a:extLst>
            <a:ext uri="{FF2B5EF4-FFF2-40B4-BE49-F238E27FC236}">
              <a16:creationId xmlns:a16="http://schemas.microsoft.com/office/drawing/2014/main" id="{00000000-0008-0000-0600-000008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33" name="AutoShape 2">
          <a:extLst>
            <a:ext uri="{FF2B5EF4-FFF2-40B4-BE49-F238E27FC236}">
              <a16:creationId xmlns:a16="http://schemas.microsoft.com/office/drawing/2014/main" id="{00000000-0008-0000-0600-000009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34" name="AutoShape 2">
          <a:extLst>
            <a:ext uri="{FF2B5EF4-FFF2-40B4-BE49-F238E27FC236}">
              <a16:creationId xmlns:a16="http://schemas.microsoft.com/office/drawing/2014/main" id="{00000000-0008-0000-0600-00000A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35" name="AutoShape 2">
          <a:extLst>
            <a:ext uri="{FF2B5EF4-FFF2-40B4-BE49-F238E27FC236}">
              <a16:creationId xmlns:a16="http://schemas.microsoft.com/office/drawing/2014/main" id="{00000000-0008-0000-0600-00000B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36" name="AutoShape 2">
          <a:extLst>
            <a:ext uri="{FF2B5EF4-FFF2-40B4-BE49-F238E27FC236}">
              <a16:creationId xmlns:a16="http://schemas.microsoft.com/office/drawing/2014/main" id="{00000000-0008-0000-0600-00000C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37" name="AutoShape 2">
          <a:extLst>
            <a:ext uri="{FF2B5EF4-FFF2-40B4-BE49-F238E27FC236}">
              <a16:creationId xmlns:a16="http://schemas.microsoft.com/office/drawing/2014/main" id="{00000000-0008-0000-0600-00000D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38" name="AutoShape 2">
          <a:extLst>
            <a:ext uri="{FF2B5EF4-FFF2-40B4-BE49-F238E27FC236}">
              <a16:creationId xmlns:a16="http://schemas.microsoft.com/office/drawing/2014/main" id="{00000000-0008-0000-0600-00000E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39" name="AutoShape 2">
          <a:extLst>
            <a:ext uri="{FF2B5EF4-FFF2-40B4-BE49-F238E27FC236}">
              <a16:creationId xmlns:a16="http://schemas.microsoft.com/office/drawing/2014/main" id="{00000000-0008-0000-0600-00000F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40" name="AutoShape 2">
          <a:extLst>
            <a:ext uri="{FF2B5EF4-FFF2-40B4-BE49-F238E27FC236}">
              <a16:creationId xmlns:a16="http://schemas.microsoft.com/office/drawing/2014/main" id="{00000000-0008-0000-0600-000010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41" name="AutoShape 2">
          <a:extLst>
            <a:ext uri="{FF2B5EF4-FFF2-40B4-BE49-F238E27FC236}">
              <a16:creationId xmlns:a16="http://schemas.microsoft.com/office/drawing/2014/main" id="{00000000-0008-0000-0600-000011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42" name="AutoShape 2">
          <a:extLst>
            <a:ext uri="{FF2B5EF4-FFF2-40B4-BE49-F238E27FC236}">
              <a16:creationId xmlns:a16="http://schemas.microsoft.com/office/drawing/2014/main" id="{00000000-0008-0000-0600-000012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43" name="AutoShape 2">
          <a:extLst>
            <a:ext uri="{FF2B5EF4-FFF2-40B4-BE49-F238E27FC236}">
              <a16:creationId xmlns:a16="http://schemas.microsoft.com/office/drawing/2014/main" id="{00000000-0008-0000-0600-000013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44" name="AutoShape 2">
          <a:extLst>
            <a:ext uri="{FF2B5EF4-FFF2-40B4-BE49-F238E27FC236}">
              <a16:creationId xmlns:a16="http://schemas.microsoft.com/office/drawing/2014/main" id="{00000000-0008-0000-0600-000014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45" name="AutoShape 2">
          <a:extLst>
            <a:ext uri="{FF2B5EF4-FFF2-40B4-BE49-F238E27FC236}">
              <a16:creationId xmlns:a16="http://schemas.microsoft.com/office/drawing/2014/main" id="{00000000-0008-0000-0600-000015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46" name="AutoShape 2">
          <a:extLst>
            <a:ext uri="{FF2B5EF4-FFF2-40B4-BE49-F238E27FC236}">
              <a16:creationId xmlns:a16="http://schemas.microsoft.com/office/drawing/2014/main" id="{00000000-0008-0000-0600-000016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47" name="AutoShape 2">
          <a:extLst>
            <a:ext uri="{FF2B5EF4-FFF2-40B4-BE49-F238E27FC236}">
              <a16:creationId xmlns:a16="http://schemas.microsoft.com/office/drawing/2014/main" id="{00000000-0008-0000-0600-000017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48" name="AutoShape 2">
          <a:extLst>
            <a:ext uri="{FF2B5EF4-FFF2-40B4-BE49-F238E27FC236}">
              <a16:creationId xmlns:a16="http://schemas.microsoft.com/office/drawing/2014/main" id="{00000000-0008-0000-0600-000018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49" name="AutoShape 2">
          <a:extLst>
            <a:ext uri="{FF2B5EF4-FFF2-40B4-BE49-F238E27FC236}">
              <a16:creationId xmlns:a16="http://schemas.microsoft.com/office/drawing/2014/main" id="{00000000-0008-0000-0600-000019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50" name="AutoShape 2">
          <a:extLst>
            <a:ext uri="{FF2B5EF4-FFF2-40B4-BE49-F238E27FC236}">
              <a16:creationId xmlns:a16="http://schemas.microsoft.com/office/drawing/2014/main" id="{00000000-0008-0000-0600-00001A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51" name="AutoShape 2">
          <a:extLst>
            <a:ext uri="{FF2B5EF4-FFF2-40B4-BE49-F238E27FC236}">
              <a16:creationId xmlns:a16="http://schemas.microsoft.com/office/drawing/2014/main" id="{00000000-0008-0000-0600-00001B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52" name="AutoShape 2">
          <a:extLst>
            <a:ext uri="{FF2B5EF4-FFF2-40B4-BE49-F238E27FC236}">
              <a16:creationId xmlns:a16="http://schemas.microsoft.com/office/drawing/2014/main" id="{00000000-0008-0000-0600-00001C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53" name="AutoShape 2">
          <a:extLst>
            <a:ext uri="{FF2B5EF4-FFF2-40B4-BE49-F238E27FC236}">
              <a16:creationId xmlns:a16="http://schemas.microsoft.com/office/drawing/2014/main" id="{00000000-0008-0000-0600-00001D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54" name="AutoShape 2">
          <a:extLst>
            <a:ext uri="{FF2B5EF4-FFF2-40B4-BE49-F238E27FC236}">
              <a16:creationId xmlns:a16="http://schemas.microsoft.com/office/drawing/2014/main" id="{00000000-0008-0000-0600-00001E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55" name="AutoShape 2">
          <a:extLst>
            <a:ext uri="{FF2B5EF4-FFF2-40B4-BE49-F238E27FC236}">
              <a16:creationId xmlns:a16="http://schemas.microsoft.com/office/drawing/2014/main" id="{00000000-0008-0000-0600-00001F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56" name="AutoShape 2">
          <a:extLst>
            <a:ext uri="{FF2B5EF4-FFF2-40B4-BE49-F238E27FC236}">
              <a16:creationId xmlns:a16="http://schemas.microsoft.com/office/drawing/2014/main" id="{00000000-0008-0000-0600-000020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57" name="AutoShape 2">
          <a:extLst>
            <a:ext uri="{FF2B5EF4-FFF2-40B4-BE49-F238E27FC236}">
              <a16:creationId xmlns:a16="http://schemas.microsoft.com/office/drawing/2014/main" id="{00000000-0008-0000-0600-000021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58" name="AutoShape 2">
          <a:extLst>
            <a:ext uri="{FF2B5EF4-FFF2-40B4-BE49-F238E27FC236}">
              <a16:creationId xmlns:a16="http://schemas.microsoft.com/office/drawing/2014/main" id="{00000000-0008-0000-0600-000022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59" name="AutoShape 2">
          <a:extLst>
            <a:ext uri="{FF2B5EF4-FFF2-40B4-BE49-F238E27FC236}">
              <a16:creationId xmlns:a16="http://schemas.microsoft.com/office/drawing/2014/main" id="{00000000-0008-0000-0600-000023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552450</xdr:colOff>
      <xdr:row>48</xdr:row>
      <xdr:rowOff>76200</xdr:rowOff>
    </xdr:to>
    <xdr:sp macro="" textlink="">
      <xdr:nvSpPr>
        <xdr:cNvPr id="1060" name="AutoShape 2">
          <a:extLst>
            <a:ext uri="{FF2B5EF4-FFF2-40B4-BE49-F238E27FC236}">
              <a16:creationId xmlns:a16="http://schemas.microsoft.com/office/drawing/2014/main" id="{00000000-0008-0000-0600-0000240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2001500" cy="9525000"/>
        </a:xfrm>
        <a:custGeom>
          <a:avLst/>
          <a:gdLst/>
          <a:ahLst/>
          <a:cxnLst/>
          <a:rect l="0" t="0" r="r" b="b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94"/>
  <sheetViews>
    <sheetView workbookViewId="0">
      <selection activeCell="E3" sqref="E3"/>
    </sheetView>
  </sheetViews>
  <sheetFormatPr defaultRowHeight="12.75" x14ac:dyDescent="0.2"/>
  <cols>
    <col min="1" max="1" width="48.28515625" bestFit="1" customWidth="1"/>
    <col min="2" max="2" width="23.7109375" bestFit="1" customWidth="1"/>
    <col min="3" max="3" width="31" bestFit="1" customWidth="1"/>
    <col min="4" max="4" width="14.7109375" customWidth="1"/>
  </cols>
  <sheetData>
    <row r="1" spans="1:5" x14ac:dyDescent="0.2">
      <c r="A1" t="s">
        <v>275</v>
      </c>
      <c r="D1" t="s">
        <v>807</v>
      </c>
    </row>
    <row r="2" spans="1:5" x14ac:dyDescent="0.2">
      <c r="A2" s="44" t="s">
        <v>276</v>
      </c>
      <c r="B2" s="45" t="s">
        <v>277</v>
      </c>
      <c r="C2" s="46" t="s">
        <v>278</v>
      </c>
      <c r="D2" s="60" t="s">
        <v>808</v>
      </c>
      <c r="E2" s="61" t="s">
        <v>1002</v>
      </c>
    </row>
    <row r="3" spans="1:5" x14ac:dyDescent="0.2">
      <c r="A3" s="47" t="s">
        <v>279</v>
      </c>
      <c r="B3" s="43" t="s">
        <v>280</v>
      </c>
      <c r="C3" s="48" t="s">
        <v>281</v>
      </c>
      <c r="D3" s="47"/>
      <c r="E3" s="48"/>
    </row>
    <row r="4" spans="1:5" x14ac:dyDescent="0.2">
      <c r="A4" s="47" t="s">
        <v>282</v>
      </c>
      <c r="B4" s="43" t="s">
        <v>283</v>
      </c>
      <c r="C4" s="48" t="s">
        <v>284</v>
      </c>
      <c r="D4" s="47"/>
      <c r="E4" s="48"/>
    </row>
    <row r="5" spans="1:5" x14ac:dyDescent="0.2">
      <c r="A5" s="47" t="s">
        <v>285</v>
      </c>
      <c r="B5" s="43" t="s">
        <v>286</v>
      </c>
      <c r="C5" s="48" t="s">
        <v>287</v>
      </c>
      <c r="D5" s="47"/>
      <c r="E5" s="48"/>
    </row>
    <row r="6" spans="1:5" x14ac:dyDescent="0.2">
      <c r="A6" s="47" t="s">
        <v>288</v>
      </c>
      <c r="B6" s="43" t="s">
        <v>289</v>
      </c>
      <c r="C6" s="48" t="s">
        <v>290</v>
      </c>
      <c r="D6" s="47"/>
      <c r="E6" s="48"/>
    </row>
    <row r="7" spans="1:5" x14ac:dyDescent="0.2">
      <c r="A7" s="47" t="s">
        <v>291</v>
      </c>
      <c r="B7" s="43" t="s">
        <v>292</v>
      </c>
      <c r="C7" s="48" t="s">
        <v>293</v>
      </c>
      <c r="D7" s="47"/>
      <c r="E7" s="48"/>
    </row>
    <row r="8" spans="1:5" x14ac:dyDescent="0.2">
      <c r="A8" s="47" t="s">
        <v>294</v>
      </c>
      <c r="B8" s="43" t="s">
        <v>295</v>
      </c>
      <c r="C8" s="48" t="s">
        <v>296</v>
      </c>
      <c r="D8" s="47"/>
      <c r="E8" s="48"/>
    </row>
    <row r="9" spans="1:5" x14ac:dyDescent="0.2">
      <c r="A9" s="47" t="s">
        <v>297</v>
      </c>
      <c r="B9" s="43" t="s">
        <v>298</v>
      </c>
      <c r="C9" s="48" t="s">
        <v>299</v>
      </c>
      <c r="D9" s="47"/>
      <c r="E9" s="48"/>
    </row>
    <row r="10" spans="1:5" x14ac:dyDescent="0.2">
      <c r="A10" s="47" t="s">
        <v>300</v>
      </c>
      <c r="B10" s="43" t="s">
        <v>301</v>
      </c>
      <c r="C10" s="48" t="s">
        <v>302</v>
      </c>
      <c r="D10" s="47"/>
      <c r="E10" s="48"/>
    </row>
    <row r="11" spans="1:5" x14ac:dyDescent="0.2">
      <c r="A11" s="47" t="s">
        <v>303</v>
      </c>
      <c r="B11" s="43" t="s">
        <v>304</v>
      </c>
      <c r="C11" s="48" t="s">
        <v>305</v>
      </c>
      <c r="D11" s="47"/>
      <c r="E11" s="48"/>
    </row>
    <row r="12" spans="1:5" x14ac:dyDescent="0.2">
      <c r="A12" s="47" t="s">
        <v>306</v>
      </c>
      <c r="B12" s="43" t="s">
        <v>307</v>
      </c>
      <c r="C12" s="48" t="s">
        <v>308</v>
      </c>
      <c r="D12" s="47"/>
      <c r="E12" s="48"/>
    </row>
    <row r="13" spans="1:5" x14ac:dyDescent="0.2">
      <c r="A13" s="47" t="s">
        <v>309</v>
      </c>
      <c r="B13" s="43" t="s">
        <v>310</v>
      </c>
      <c r="C13" s="48" t="s">
        <v>311</v>
      </c>
      <c r="D13" s="47"/>
      <c r="E13" s="48"/>
    </row>
    <row r="14" spans="1:5" x14ac:dyDescent="0.2">
      <c r="A14" s="47" t="s">
        <v>312</v>
      </c>
      <c r="B14" s="43" t="s">
        <v>313</v>
      </c>
      <c r="C14" s="48" t="s">
        <v>314</v>
      </c>
      <c r="D14" s="47"/>
      <c r="E14" s="48"/>
    </row>
    <row r="15" spans="1:5" x14ac:dyDescent="0.2">
      <c r="A15" s="47" t="s">
        <v>315</v>
      </c>
      <c r="B15" s="43" t="s">
        <v>316</v>
      </c>
      <c r="C15" s="48" t="s">
        <v>317</v>
      </c>
      <c r="D15" s="47"/>
      <c r="E15" s="48"/>
    </row>
    <row r="16" spans="1:5" x14ac:dyDescent="0.2">
      <c r="A16" s="47" t="s">
        <v>318</v>
      </c>
      <c r="B16" s="43" t="s">
        <v>319</v>
      </c>
      <c r="C16" s="48" t="s">
        <v>320</v>
      </c>
      <c r="D16" s="47"/>
      <c r="E16" s="48"/>
    </row>
    <row r="17" spans="1:5" x14ac:dyDescent="0.2">
      <c r="A17" s="47" t="s">
        <v>321</v>
      </c>
      <c r="B17" s="43" t="s">
        <v>322</v>
      </c>
      <c r="C17" s="48" t="s">
        <v>323</v>
      </c>
      <c r="D17" s="47"/>
      <c r="E17" s="48"/>
    </row>
    <row r="18" spans="1:5" x14ac:dyDescent="0.2">
      <c r="A18" s="47" t="s">
        <v>324</v>
      </c>
      <c r="B18" s="43" t="s">
        <v>325</v>
      </c>
      <c r="C18" s="48" t="s">
        <v>326</v>
      </c>
      <c r="D18" s="47"/>
      <c r="E18" s="48"/>
    </row>
    <row r="19" spans="1:5" x14ac:dyDescent="0.2">
      <c r="A19" s="47" t="s">
        <v>327</v>
      </c>
      <c r="B19" s="43" t="s">
        <v>328</v>
      </c>
      <c r="C19" s="48" t="s">
        <v>329</v>
      </c>
      <c r="D19" s="47"/>
      <c r="E19" s="48"/>
    </row>
    <row r="20" spans="1:5" x14ac:dyDescent="0.2">
      <c r="A20" s="47" t="s">
        <v>330</v>
      </c>
      <c r="B20" s="43" t="s">
        <v>331</v>
      </c>
      <c r="C20" s="48" t="s">
        <v>332</v>
      </c>
      <c r="D20" s="47"/>
      <c r="E20" s="48"/>
    </row>
    <row r="21" spans="1:5" x14ac:dyDescent="0.2">
      <c r="A21" s="47" t="s">
        <v>333</v>
      </c>
      <c r="B21" s="43" t="s">
        <v>334</v>
      </c>
      <c r="C21" s="48" t="s">
        <v>335</v>
      </c>
      <c r="D21" s="49"/>
      <c r="E21" s="51"/>
    </row>
    <row r="22" spans="1:5" x14ac:dyDescent="0.2">
      <c r="A22" s="47" t="s">
        <v>336</v>
      </c>
      <c r="B22" s="43" t="s">
        <v>337</v>
      </c>
      <c r="C22" s="48" t="s">
        <v>338</v>
      </c>
    </row>
    <row r="23" spans="1:5" x14ac:dyDescent="0.2">
      <c r="A23" s="47" t="s">
        <v>339</v>
      </c>
      <c r="B23" s="43" t="s">
        <v>340</v>
      </c>
      <c r="C23" s="48" t="s">
        <v>341</v>
      </c>
    </row>
    <row r="24" spans="1:5" x14ac:dyDescent="0.2">
      <c r="A24" s="47" t="s">
        <v>342</v>
      </c>
      <c r="B24" s="43" t="s">
        <v>343</v>
      </c>
      <c r="C24" s="48" t="s">
        <v>344</v>
      </c>
    </row>
    <row r="25" spans="1:5" x14ac:dyDescent="0.2">
      <c r="A25" s="47" t="s">
        <v>345</v>
      </c>
      <c r="B25" s="43" t="s">
        <v>346</v>
      </c>
      <c r="C25" s="48" t="s">
        <v>347</v>
      </c>
    </row>
    <row r="26" spans="1:5" x14ac:dyDescent="0.2">
      <c r="A26" s="47" t="s">
        <v>348</v>
      </c>
      <c r="B26" s="43" t="s">
        <v>349</v>
      </c>
      <c r="C26" s="48" t="s">
        <v>350</v>
      </c>
    </row>
    <row r="27" spans="1:5" x14ac:dyDescent="0.2">
      <c r="A27" s="47" t="s">
        <v>351</v>
      </c>
      <c r="B27" s="43" t="s">
        <v>352</v>
      </c>
      <c r="C27" s="48" t="s">
        <v>353</v>
      </c>
    </row>
    <row r="28" spans="1:5" x14ac:dyDescent="0.2">
      <c r="A28" s="47" t="s">
        <v>354</v>
      </c>
      <c r="B28" s="43" t="s">
        <v>355</v>
      </c>
      <c r="C28" s="48" t="s">
        <v>356</v>
      </c>
    </row>
    <row r="29" spans="1:5" x14ac:dyDescent="0.2">
      <c r="A29" s="47" t="s">
        <v>357</v>
      </c>
      <c r="B29" s="43" t="s">
        <v>358</v>
      </c>
      <c r="C29" s="48" t="s">
        <v>359</v>
      </c>
    </row>
    <row r="30" spans="1:5" x14ac:dyDescent="0.2">
      <c r="A30" s="47" t="s">
        <v>360</v>
      </c>
      <c r="B30" s="43" t="s">
        <v>361</v>
      </c>
      <c r="C30" s="48" t="s">
        <v>362</v>
      </c>
    </row>
    <row r="31" spans="1:5" x14ac:dyDescent="0.2">
      <c r="A31" s="47" t="s">
        <v>363</v>
      </c>
      <c r="B31" s="43" t="s">
        <v>364</v>
      </c>
      <c r="C31" s="48" t="s">
        <v>365</v>
      </c>
    </row>
    <row r="32" spans="1:5" x14ac:dyDescent="0.2">
      <c r="A32" s="47" t="s">
        <v>366</v>
      </c>
      <c r="B32" s="43" t="s">
        <v>367</v>
      </c>
      <c r="C32" s="48" t="s">
        <v>368</v>
      </c>
    </row>
    <row r="33" spans="1:3" x14ac:dyDescent="0.2">
      <c r="A33" s="47" t="s">
        <v>369</v>
      </c>
      <c r="B33" s="43" t="s">
        <v>370</v>
      </c>
      <c r="C33" s="48" t="s">
        <v>371</v>
      </c>
    </row>
    <row r="34" spans="1:3" x14ac:dyDescent="0.2">
      <c r="A34" s="47" t="s">
        <v>372</v>
      </c>
      <c r="B34" s="43" t="s">
        <v>373</v>
      </c>
      <c r="C34" s="48" t="s">
        <v>374</v>
      </c>
    </row>
    <row r="35" spans="1:3" x14ac:dyDescent="0.2">
      <c r="A35" s="47" t="s">
        <v>375</v>
      </c>
      <c r="B35" s="43" t="s">
        <v>376</v>
      </c>
      <c r="C35" s="48" t="s">
        <v>377</v>
      </c>
    </row>
    <row r="36" spans="1:3" x14ac:dyDescent="0.2">
      <c r="A36" s="47" t="s">
        <v>378</v>
      </c>
      <c r="B36" s="43" t="s">
        <v>379</v>
      </c>
      <c r="C36" s="48" t="s">
        <v>380</v>
      </c>
    </row>
    <row r="37" spans="1:3" x14ac:dyDescent="0.2">
      <c r="A37" s="47" t="s">
        <v>381</v>
      </c>
      <c r="B37" s="43" t="s">
        <v>382</v>
      </c>
      <c r="C37" s="48" t="s">
        <v>383</v>
      </c>
    </row>
    <row r="38" spans="1:3" x14ac:dyDescent="0.2">
      <c r="A38" s="47" t="s">
        <v>384</v>
      </c>
      <c r="B38" s="43" t="s">
        <v>385</v>
      </c>
      <c r="C38" s="48" t="s">
        <v>386</v>
      </c>
    </row>
    <row r="39" spans="1:3" x14ac:dyDescent="0.2">
      <c r="A39" s="47" t="s">
        <v>387</v>
      </c>
      <c r="B39" s="43" t="s">
        <v>388</v>
      </c>
      <c r="C39" s="48" t="s">
        <v>389</v>
      </c>
    </row>
    <row r="40" spans="1:3" x14ac:dyDescent="0.2">
      <c r="A40" s="47" t="s">
        <v>390</v>
      </c>
      <c r="B40" s="43" t="s">
        <v>391</v>
      </c>
      <c r="C40" s="48" t="s">
        <v>392</v>
      </c>
    </row>
    <row r="41" spans="1:3" x14ac:dyDescent="0.2">
      <c r="A41" s="47" t="s">
        <v>393</v>
      </c>
      <c r="B41" s="43" t="s">
        <v>394</v>
      </c>
      <c r="C41" s="48" t="s">
        <v>395</v>
      </c>
    </row>
    <row r="42" spans="1:3" x14ac:dyDescent="0.2">
      <c r="A42" s="47" t="s">
        <v>396</v>
      </c>
      <c r="B42" s="43" t="s">
        <v>397</v>
      </c>
      <c r="C42" s="48" t="s">
        <v>398</v>
      </c>
    </row>
    <row r="43" spans="1:3" x14ac:dyDescent="0.2">
      <c r="A43" s="47" t="s">
        <v>399</v>
      </c>
      <c r="B43" s="43" t="s">
        <v>400</v>
      </c>
      <c r="C43" s="48" t="s">
        <v>401</v>
      </c>
    </row>
    <row r="44" spans="1:3" x14ac:dyDescent="0.2">
      <c r="A44" s="47" t="s">
        <v>402</v>
      </c>
      <c r="B44" s="43" t="s">
        <v>403</v>
      </c>
      <c r="C44" s="48" t="s">
        <v>404</v>
      </c>
    </row>
    <row r="45" spans="1:3" x14ac:dyDescent="0.2">
      <c r="A45" s="47" t="s">
        <v>405</v>
      </c>
      <c r="B45" s="43" t="s">
        <v>406</v>
      </c>
      <c r="C45" s="48" t="s">
        <v>407</v>
      </c>
    </row>
    <row r="46" spans="1:3" x14ac:dyDescent="0.2">
      <c r="A46" s="47" t="s">
        <v>408</v>
      </c>
      <c r="B46" s="43" t="s">
        <v>409</v>
      </c>
      <c r="C46" s="48" t="s">
        <v>410</v>
      </c>
    </row>
    <row r="47" spans="1:3" x14ac:dyDescent="0.2">
      <c r="A47" s="47" t="s">
        <v>411</v>
      </c>
      <c r="B47" s="43" t="s">
        <v>412</v>
      </c>
      <c r="C47" s="48" t="s">
        <v>413</v>
      </c>
    </row>
    <row r="48" spans="1:3" x14ac:dyDescent="0.2">
      <c r="A48" s="47" t="s">
        <v>414</v>
      </c>
      <c r="B48" s="43" t="s">
        <v>415</v>
      </c>
      <c r="C48" s="48" t="s">
        <v>416</v>
      </c>
    </row>
    <row r="49" spans="1:3" x14ac:dyDescent="0.2">
      <c r="A49" s="47" t="s">
        <v>417</v>
      </c>
      <c r="B49" s="43" t="s">
        <v>418</v>
      </c>
      <c r="C49" s="48" t="s">
        <v>419</v>
      </c>
    </row>
    <row r="50" spans="1:3" x14ac:dyDescent="0.2">
      <c r="A50" s="47" t="s">
        <v>420</v>
      </c>
      <c r="B50" s="43" t="s">
        <v>421</v>
      </c>
      <c r="C50" s="48" t="s">
        <v>422</v>
      </c>
    </row>
    <row r="51" spans="1:3" x14ac:dyDescent="0.2">
      <c r="A51" s="47" t="s">
        <v>423</v>
      </c>
      <c r="B51" s="43" t="s">
        <v>424</v>
      </c>
      <c r="C51" s="48" t="s">
        <v>425</v>
      </c>
    </row>
    <row r="52" spans="1:3" x14ac:dyDescent="0.2">
      <c r="A52" s="47" t="s">
        <v>426</v>
      </c>
      <c r="B52" s="43" t="s">
        <v>427</v>
      </c>
      <c r="C52" s="48" t="s">
        <v>428</v>
      </c>
    </row>
    <row r="53" spans="1:3" x14ac:dyDescent="0.2">
      <c r="A53" s="47" t="s">
        <v>429</v>
      </c>
      <c r="B53" s="43" t="s">
        <v>430</v>
      </c>
      <c r="C53" s="48" t="s">
        <v>431</v>
      </c>
    </row>
    <row r="54" spans="1:3" x14ac:dyDescent="0.2">
      <c r="A54" s="47" t="s">
        <v>432</v>
      </c>
      <c r="B54" s="43" t="s">
        <v>433</v>
      </c>
      <c r="C54" s="48" t="s">
        <v>434</v>
      </c>
    </row>
    <row r="55" spans="1:3" x14ac:dyDescent="0.2">
      <c r="A55" s="47" t="s">
        <v>435</v>
      </c>
      <c r="B55" s="43" t="s">
        <v>436</v>
      </c>
      <c r="C55" s="48" t="s">
        <v>437</v>
      </c>
    </row>
    <row r="56" spans="1:3" x14ac:dyDescent="0.2">
      <c r="A56" s="47" t="s">
        <v>438</v>
      </c>
      <c r="B56" s="43" t="s">
        <v>439</v>
      </c>
      <c r="C56" s="48" t="s">
        <v>440</v>
      </c>
    </row>
    <row r="57" spans="1:3" x14ac:dyDescent="0.2">
      <c r="A57" s="47" t="s">
        <v>441</v>
      </c>
      <c r="B57" s="43" t="s">
        <v>442</v>
      </c>
      <c r="C57" s="48" t="s">
        <v>443</v>
      </c>
    </row>
    <row r="58" spans="1:3" x14ac:dyDescent="0.2">
      <c r="A58" s="47" t="s">
        <v>444</v>
      </c>
      <c r="B58" s="43" t="s">
        <v>445</v>
      </c>
      <c r="C58" s="48" t="s">
        <v>446</v>
      </c>
    </row>
    <row r="59" spans="1:3" x14ac:dyDescent="0.2">
      <c r="A59" s="47" t="s">
        <v>447</v>
      </c>
      <c r="B59" s="43" t="s">
        <v>448</v>
      </c>
      <c r="C59" s="48" t="s">
        <v>449</v>
      </c>
    </row>
    <row r="60" spans="1:3" x14ac:dyDescent="0.2">
      <c r="A60" s="47" t="s">
        <v>450</v>
      </c>
      <c r="B60" s="43" t="s">
        <v>451</v>
      </c>
      <c r="C60" s="48" t="s">
        <v>452</v>
      </c>
    </row>
    <row r="61" spans="1:3" x14ac:dyDescent="0.2">
      <c r="A61" s="47" t="s">
        <v>453</v>
      </c>
      <c r="B61" s="43" t="s">
        <v>454</v>
      </c>
      <c r="C61" s="48" t="s">
        <v>455</v>
      </c>
    </row>
    <row r="62" spans="1:3" x14ac:dyDescent="0.2">
      <c r="A62" s="47" t="s">
        <v>456</v>
      </c>
      <c r="B62" s="43" t="s">
        <v>457</v>
      </c>
      <c r="C62" s="48" t="s">
        <v>458</v>
      </c>
    </row>
    <row r="63" spans="1:3" x14ac:dyDescent="0.2">
      <c r="A63" s="47" t="s">
        <v>459</v>
      </c>
      <c r="B63" s="43" t="s">
        <v>460</v>
      </c>
      <c r="C63" s="48" t="s">
        <v>461</v>
      </c>
    </row>
    <row r="64" spans="1:3" x14ac:dyDescent="0.2">
      <c r="A64" s="47" t="s">
        <v>462</v>
      </c>
      <c r="B64" s="43" t="s">
        <v>463</v>
      </c>
      <c r="C64" s="48" t="s">
        <v>464</v>
      </c>
    </row>
    <row r="65" spans="1:3" x14ac:dyDescent="0.2">
      <c r="A65" s="47" t="s">
        <v>465</v>
      </c>
      <c r="B65" s="43" t="s">
        <v>466</v>
      </c>
      <c r="C65" s="48" t="s">
        <v>467</v>
      </c>
    </row>
    <row r="66" spans="1:3" x14ac:dyDescent="0.2">
      <c r="A66" s="47" t="s">
        <v>468</v>
      </c>
      <c r="B66" s="43" t="s">
        <v>469</v>
      </c>
      <c r="C66" s="48" t="s">
        <v>470</v>
      </c>
    </row>
    <row r="67" spans="1:3" x14ac:dyDescent="0.2">
      <c r="A67" s="47" t="s">
        <v>471</v>
      </c>
      <c r="B67" s="43" t="s">
        <v>472</v>
      </c>
      <c r="C67" s="48" t="s">
        <v>473</v>
      </c>
    </row>
    <row r="68" spans="1:3" x14ac:dyDescent="0.2">
      <c r="A68" s="47" t="s">
        <v>474</v>
      </c>
      <c r="B68" s="43" t="s">
        <v>475</v>
      </c>
      <c r="C68" s="48" t="s">
        <v>476</v>
      </c>
    </row>
    <row r="69" spans="1:3" x14ac:dyDescent="0.2">
      <c r="A69" s="47" t="s">
        <v>477</v>
      </c>
      <c r="B69" s="43" t="s">
        <v>478</v>
      </c>
      <c r="C69" s="48" t="s">
        <v>479</v>
      </c>
    </row>
    <row r="70" spans="1:3" x14ac:dyDescent="0.2">
      <c r="A70" s="47" t="s">
        <v>480</v>
      </c>
      <c r="B70" s="43" t="s">
        <v>481</v>
      </c>
      <c r="C70" s="48" t="s">
        <v>482</v>
      </c>
    </row>
    <row r="71" spans="1:3" x14ac:dyDescent="0.2">
      <c r="A71" s="47" t="s">
        <v>483</v>
      </c>
      <c r="B71" s="43" t="s">
        <v>484</v>
      </c>
      <c r="C71" s="48" t="s">
        <v>485</v>
      </c>
    </row>
    <row r="72" spans="1:3" x14ac:dyDescent="0.2">
      <c r="A72" s="47" t="s">
        <v>486</v>
      </c>
      <c r="B72" s="43" t="s">
        <v>487</v>
      </c>
      <c r="C72" s="48" t="s">
        <v>488</v>
      </c>
    </row>
    <row r="73" spans="1:3" x14ac:dyDescent="0.2">
      <c r="A73" s="47" t="s">
        <v>489</v>
      </c>
      <c r="B73" s="43" t="s">
        <v>490</v>
      </c>
      <c r="C73" s="48" t="s">
        <v>491</v>
      </c>
    </row>
    <row r="74" spans="1:3" x14ac:dyDescent="0.2">
      <c r="A74" s="47" t="s">
        <v>492</v>
      </c>
      <c r="B74" s="43" t="s">
        <v>493</v>
      </c>
      <c r="C74" s="48" t="s">
        <v>494</v>
      </c>
    </row>
    <row r="75" spans="1:3" x14ac:dyDescent="0.2">
      <c r="A75" s="47" t="s">
        <v>495</v>
      </c>
      <c r="B75" s="43" t="s">
        <v>496</v>
      </c>
      <c r="C75" s="48" t="s">
        <v>497</v>
      </c>
    </row>
    <row r="76" spans="1:3" x14ac:dyDescent="0.2">
      <c r="A76" s="47" t="s">
        <v>498</v>
      </c>
      <c r="B76" s="43" t="s">
        <v>499</v>
      </c>
      <c r="C76" s="48" t="s">
        <v>500</v>
      </c>
    </row>
    <row r="77" spans="1:3" x14ac:dyDescent="0.2">
      <c r="A77" s="47" t="s">
        <v>501</v>
      </c>
      <c r="B77" s="43" t="s">
        <v>502</v>
      </c>
      <c r="C77" s="48" t="s">
        <v>503</v>
      </c>
    </row>
    <row r="78" spans="1:3" x14ac:dyDescent="0.2">
      <c r="A78" s="47" t="s">
        <v>504</v>
      </c>
      <c r="B78" s="43" t="s">
        <v>505</v>
      </c>
      <c r="C78" s="48" t="s">
        <v>506</v>
      </c>
    </row>
    <row r="79" spans="1:3" x14ac:dyDescent="0.2">
      <c r="A79" s="47" t="s">
        <v>507</v>
      </c>
      <c r="B79" s="43" t="s">
        <v>508</v>
      </c>
      <c r="C79" s="48" t="s">
        <v>509</v>
      </c>
    </row>
    <row r="80" spans="1:3" x14ac:dyDescent="0.2">
      <c r="A80" s="47" t="s">
        <v>510</v>
      </c>
      <c r="B80" s="43" t="s">
        <v>511</v>
      </c>
      <c r="C80" s="48" t="s">
        <v>512</v>
      </c>
    </row>
    <row r="81" spans="1:3" x14ac:dyDescent="0.2">
      <c r="A81" s="47" t="s">
        <v>513</v>
      </c>
      <c r="B81" s="43" t="s">
        <v>514</v>
      </c>
      <c r="C81" s="48" t="s">
        <v>515</v>
      </c>
    </row>
    <row r="82" spans="1:3" x14ac:dyDescent="0.2">
      <c r="A82" s="47" t="s">
        <v>516</v>
      </c>
      <c r="B82" s="43" t="s">
        <v>517</v>
      </c>
      <c r="C82" s="48" t="s">
        <v>518</v>
      </c>
    </row>
    <row r="83" spans="1:3" x14ac:dyDescent="0.2">
      <c r="A83" s="47" t="s">
        <v>519</v>
      </c>
      <c r="B83" s="43" t="s">
        <v>520</v>
      </c>
      <c r="C83" s="48" t="s">
        <v>521</v>
      </c>
    </row>
    <row r="84" spans="1:3" x14ac:dyDescent="0.2">
      <c r="A84" s="47" t="s">
        <v>522</v>
      </c>
      <c r="B84" s="43" t="s">
        <v>523</v>
      </c>
      <c r="C84" s="48" t="s">
        <v>524</v>
      </c>
    </row>
    <row r="85" spans="1:3" x14ac:dyDescent="0.2">
      <c r="A85" s="47" t="s">
        <v>525</v>
      </c>
      <c r="B85" s="43" t="s">
        <v>526</v>
      </c>
      <c r="C85" s="48" t="s">
        <v>527</v>
      </c>
    </row>
    <row r="86" spans="1:3" x14ac:dyDescent="0.2">
      <c r="A86" s="47" t="s">
        <v>528</v>
      </c>
      <c r="B86" s="43" t="s">
        <v>529</v>
      </c>
      <c r="C86" s="48" t="s">
        <v>530</v>
      </c>
    </row>
    <row r="87" spans="1:3" x14ac:dyDescent="0.2">
      <c r="A87" s="47" t="s">
        <v>531</v>
      </c>
      <c r="B87" s="43" t="s">
        <v>532</v>
      </c>
      <c r="C87" s="48" t="s">
        <v>533</v>
      </c>
    </row>
    <row r="88" spans="1:3" x14ac:dyDescent="0.2">
      <c r="A88" s="47" t="s">
        <v>534</v>
      </c>
      <c r="B88" s="43" t="s">
        <v>535</v>
      </c>
      <c r="C88" s="48" t="s">
        <v>536</v>
      </c>
    </row>
    <row r="89" spans="1:3" x14ac:dyDescent="0.2">
      <c r="A89" s="47" t="s">
        <v>537</v>
      </c>
      <c r="B89" s="43" t="s">
        <v>538</v>
      </c>
      <c r="C89" s="48" t="s">
        <v>539</v>
      </c>
    </row>
    <row r="90" spans="1:3" x14ac:dyDescent="0.2">
      <c r="A90" s="47" t="s">
        <v>540</v>
      </c>
      <c r="B90" s="43" t="s">
        <v>541</v>
      </c>
      <c r="C90" s="48" t="s">
        <v>542</v>
      </c>
    </row>
    <row r="91" spans="1:3" x14ac:dyDescent="0.2">
      <c r="A91" s="47" t="s">
        <v>543</v>
      </c>
      <c r="B91" s="43" t="s">
        <v>544</v>
      </c>
      <c r="C91" s="48" t="s">
        <v>545</v>
      </c>
    </row>
    <row r="92" spans="1:3" x14ac:dyDescent="0.2">
      <c r="A92" s="47" t="s">
        <v>546</v>
      </c>
      <c r="B92" s="43" t="s">
        <v>547</v>
      </c>
      <c r="C92" s="48" t="s">
        <v>548</v>
      </c>
    </row>
    <row r="93" spans="1:3" x14ac:dyDescent="0.2">
      <c r="A93" s="47" t="s">
        <v>549</v>
      </c>
      <c r="B93" s="43" t="s">
        <v>550</v>
      </c>
      <c r="C93" s="48" t="s">
        <v>551</v>
      </c>
    </row>
    <row r="94" spans="1:3" x14ac:dyDescent="0.2">
      <c r="A94" s="47" t="s">
        <v>552</v>
      </c>
      <c r="B94" s="43" t="s">
        <v>553</v>
      </c>
      <c r="C94" s="48" t="s">
        <v>554</v>
      </c>
    </row>
    <row r="95" spans="1:3" x14ac:dyDescent="0.2">
      <c r="A95" s="47" t="s">
        <v>555</v>
      </c>
      <c r="B95" s="43" t="s">
        <v>556</v>
      </c>
      <c r="C95" s="48" t="s">
        <v>557</v>
      </c>
    </row>
    <row r="96" spans="1:3" x14ac:dyDescent="0.2">
      <c r="A96" s="47" t="s">
        <v>558</v>
      </c>
      <c r="B96" s="43" t="s">
        <v>559</v>
      </c>
      <c r="C96" s="48" t="s">
        <v>560</v>
      </c>
    </row>
    <row r="97" spans="1:3" x14ac:dyDescent="0.2">
      <c r="A97" s="47" t="s">
        <v>561</v>
      </c>
      <c r="B97" s="43" t="s">
        <v>562</v>
      </c>
      <c r="C97" s="48" t="s">
        <v>563</v>
      </c>
    </row>
    <row r="98" spans="1:3" x14ac:dyDescent="0.2">
      <c r="A98" s="47" t="s">
        <v>564</v>
      </c>
      <c r="B98" s="43" t="s">
        <v>565</v>
      </c>
      <c r="C98" s="48" t="s">
        <v>566</v>
      </c>
    </row>
    <row r="99" spans="1:3" x14ac:dyDescent="0.2">
      <c r="A99" s="47" t="s">
        <v>567</v>
      </c>
      <c r="B99" s="43" t="s">
        <v>568</v>
      </c>
      <c r="C99" s="48" t="s">
        <v>569</v>
      </c>
    </row>
    <row r="100" spans="1:3" x14ac:dyDescent="0.2">
      <c r="A100" s="47" t="s">
        <v>570</v>
      </c>
      <c r="B100" s="43" t="s">
        <v>571</v>
      </c>
      <c r="C100" s="48" t="s">
        <v>572</v>
      </c>
    </row>
    <row r="101" spans="1:3" x14ac:dyDescent="0.2">
      <c r="A101" s="47" t="s">
        <v>573</v>
      </c>
      <c r="B101" s="43" t="s">
        <v>574</v>
      </c>
      <c r="C101" s="48" t="s">
        <v>575</v>
      </c>
    </row>
    <row r="102" spans="1:3" x14ac:dyDescent="0.2">
      <c r="A102" s="47" t="s">
        <v>576</v>
      </c>
      <c r="B102" s="43" t="s">
        <v>577</v>
      </c>
      <c r="C102" s="48" t="s">
        <v>578</v>
      </c>
    </row>
    <row r="103" spans="1:3" x14ac:dyDescent="0.2">
      <c r="A103" s="47" t="s">
        <v>579</v>
      </c>
      <c r="B103" s="43" t="s">
        <v>580</v>
      </c>
      <c r="C103" s="48" t="s">
        <v>581</v>
      </c>
    </row>
    <row r="104" spans="1:3" x14ac:dyDescent="0.2">
      <c r="A104" s="47" t="s">
        <v>582</v>
      </c>
      <c r="B104" s="43" t="s">
        <v>583</v>
      </c>
      <c r="C104" s="48" t="s">
        <v>584</v>
      </c>
    </row>
    <row r="105" spans="1:3" x14ac:dyDescent="0.2">
      <c r="A105" s="47" t="s">
        <v>585</v>
      </c>
      <c r="B105" s="43" t="s">
        <v>586</v>
      </c>
      <c r="C105" s="48" t="s">
        <v>587</v>
      </c>
    </row>
    <row r="106" spans="1:3" x14ac:dyDescent="0.2">
      <c r="A106" s="47" t="s">
        <v>588</v>
      </c>
      <c r="B106" s="43" t="s">
        <v>589</v>
      </c>
      <c r="C106" s="48" t="s">
        <v>590</v>
      </c>
    </row>
    <row r="107" spans="1:3" x14ac:dyDescent="0.2">
      <c r="A107" s="47" t="s">
        <v>591</v>
      </c>
      <c r="B107" s="43" t="s">
        <v>592</v>
      </c>
      <c r="C107" s="48" t="s">
        <v>593</v>
      </c>
    </row>
    <row r="108" spans="1:3" x14ac:dyDescent="0.2">
      <c r="A108" s="47" t="s">
        <v>594</v>
      </c>
      <c r="B108" s="43" t="s">
        <v>595</v>
      </c>
      <c r="C108" s="48" t="s">
        <v>596</v>
      </c>
    </row>
    <row r="109" spans="1:3" x14ac:dyDescent="0.2">
      <c r="A109" s="47" t="s">
        <v>597</v>
      </c>
      <c r="B109" s="43" t="s">
        <v>598</v>
      </c>
      <c r="C109" s="48" t="s">
        <v>599</v>
      </c>
    </row>
    <row r="110" spans="1:3" x14ac:dyDescent="0.2">
      <c r="A110" s="47" t="s">
        <v>600</v>
      </c>
      <c r="B110" s="43" t="s">
        <v>601</v>
      </c>
      <c r="C110" s="48" t="s">
        <v>602</v>
      </c>
    </row>
    <row r="111" spans="1:3" x14ac:dyDescent="0.2">
      <c r="A111" s="47" t="s">
        <v>603</v>
      </c>
      <c r="B111" s="43" t="s">
        <v>604</v>
      </c>
      <c r="C111" s="48" t="s">
        <v>605</v>
      </c>
    </row>
    <row r="112" spans="1:3" x14ac:dyDescent="0.2">
      <c r="A112" s="47" t="s">
        <v>606</v>
      </c>
      <c r="B112" s="43" t="s">
        <v>607</v>
      </c>
      <c r="C112" s="48" t="s">
        <v>608</v>
      </c>
    </row>
    <row r="113" spans="1:3" x14ac:dyDescent="0.2">
      <c r="A113" s="47" t="s">
        <v>609</v>
      </c>
      <c r="B113" s="43" t="s">
        <v>610</v>
      </c>
      <c r="C113" s="48" t="s">
        <v>611</v>
      </c>
    </row>
    <row r="114" spans="1:3" x14ac:dyDescent="0.2">
      <c r="A114" s="47" t="s">
        <v>612</v>
      </c>
      <c r="B114" s="43" t="s">
        <v>613</v>
      </c>
      <c r="C114" s="48" t="s">
        <v>614</v>
      </c>
    </row>
    <row r="115" spans="1:3" x14ac:dyDescent="0.2">
      <c r="A115" s="47" t="s">
        <v>615</v>
      </c>
      <c r="B115" s="43" t="s">
        <v>616</v>
      </c>
      <c r="C115" s="48" t="s">
        <v>617</v>
      </c>
    </row>
    <row r="116" spans="1:3" x14ac:dyDescent="0.2">
      <c r="A116" s="47" t="s">
        <v>618</v>
      </c>
      <c r="B116" s="43" t="s">
        <v>619</v>
      </c>
      <c r="C116" s="48" t="s">
        <v>620</v>
      </c>
    </row>
    <row r="117" spans="1:3" x14ac:dyDescent="0.2">
      <c r="A117" s="47" t="s">
        <v>621</v>
      </c>
      <c r="B117" s="43" t="s">
        <v>622</v>
      </c>
      <c r="C117" s="48" t="s">
        <v>623</v>
      </c>
    </row>
    <row r="118" spans="1:3" x14ac:dyDescent="0.2">
      <c r="A118" s="47" t="s">
        <v>624</v>
      </c>
      <c r="B118" s="43" t="s">
        <v>625</v>
      </c>
      <c r="C118" s="48" t="s">
        <v>626</v>
      </c>
    </row>
    <row r="119" spans="1:3" x14ac:dyDescent="0.2">
      <c r="A119" s="47" t="s">
        <v>627</v>
      </c>
      <c r="B119" s="43" t="s">
        <v>628</v>
      </c>
      <c r="C119" s="48" t="s">
        <v>629</v>
      </c>
    </row>
    <row r="120" spans="1:3" x14ac:dyDescent="0.2">
      <c r="A120" s="47" t="s">
        <v>630</v>
      </c>
      <c r="B120" s="43" t="s">
        <v>631</v>
      </c>
      <c r="C120" s="48" t="s">
        <v>632</v>
      </c>
    </row>
    <row r="121" spans="1:3" x14ac:dyDescent="0.2">
      <c r="A121" s="47" t="s">
        <v>633</v>
      </c>
      <c r="B121" s="43" t="s">
        <v>634</v>
      </c>
      <c r="C121" s="48" t="s">
        <v>635</v>
      </c>
    </row>
    <row r="122" spans="1:3" x14ac:dyDescent="0.2">
      <c r="A122" s="47" t="s">
        <v>636</v>
      </c>
      <c r="B122" s="43" t="s">
        <v>637</v>
      </c>
      <c r="C122" s="48" t="s">
        <v>638</v>
      </c>
    </row>
    <row r="123" spans="1:3" x14ac:dyDescent="0.2">
      <c r="A123" s="47" t="s">
        <v>639</v>
      </c>
      <c r="B123" s="43" t="s">
        <v>640</v>
      </c>
      <c r="C123" s="48" t="s">
        <v>641</v>
      </c>
    </row>
    <row r="124" spans="1:3" x14ac:dyDescent="0.2">
      <c r="A124" s="47" t="s">
        <v>642</v>
      </c>
      <c r="B124" s="43" t="s">
        <v>643</v>
      </c>
      <c r="C124" s="48" t="s">
        <v>644</v>
      </c>
    </row>
    <row r="125" spans="1:3" x14ac:dyDescent="0.2">
      <c r="A125" s="47" t="s">
        <v>645</v>
      </c>
      <c r="B125" s="43" t="s">
        <v>646</v>
      </c>
      <c r="C125" s="48" t="s">
        <v>647</v>
      </c>
    </row>
    <row r="126" spans="1:3" x14ac:dyDescent="0.2">
      <c r="A126" s="47" t="s">
        <v>648</v>
      </c>
      <c r="B126" s="43" t="s">
        <v>649</v>
      </c>
      <c r="C126" s="48" t="s">
        <v>650</v>
      </c>
    </row>
    <row r="127" spans="1:3" x14ac:dyDescent="0.2">
      <c r="A127" s="47" t="s">
        <v>651</v>
      </c>
      <c r="B127" s="43" t="s">
        <v>652</v>
      </c>
      <c r="C127" s="48" t="s">
        <v>653</v>
      </c>
    </row>
    <row r="128" spans="1:3" x14ac:dyDescent="0.2">
      <c r="A128" s="47" t="s">
        <v>654</v>
      </c>
      <c r="B128" s="43" t="s">
        <v>655</v>
      </c>
      <c r="C128" s="48" t="s">
        <v>656</v>
      </c>
    </row>
    <row r="129" spans="1:3" x14ac:dyDescent="0.2">
      <c r="A129" s="47" t="s">
        <v>657</v>
      </c>
      <c r="B129" s="43" t="s">
        <v>658</v>
      </c>
      <c r="C129" s="48" t="s">
        <v>659</v>
      </c>
    </row>
    <row r="130" spans="1:3" x14ac:dyDescent="0.2">
      <c r="A130" s="47" t="s">
        <v>660</v>
      </c>
      <c r="B130" s="43" t="s">
        <v>661</v>
      </c>
      <c r="C130" s="48" t="s">
        <v>662</v>
      </c>
    </row>
    <row r="131" spans="1:3" x14ac:dyDescent="0.2">
      <c r="A131" s="47" t="s">
        <v>663</v>
      </c>
      <c r="B131" s="43" t="s">
        <v>664</v>
      </c>
      <c r="C131" s="48" t="s">
        <v>665</v>
      </c>
    </row>
    <row r="132" spans="1:3" x14ac:dyDescent="0.2">
      <c r="A132" s="47" t="s">
        <v>666</v>
      </c>
      <c r="B132" s="43" t="s">
        <v>667</v>
      </c>
      <c r="C132" s="48" t="s">
        <v>668</v>
      </c>
    </row>
    <row r="133" spans="1:3" x14ac:dyDescent="0.2">
      <c r="A133" s="47" t="s">
        <v>669</v>
      </c>
      <c r="B133" s="43" t="s">
        <v>670</v>
      </c>
      <c r="C133" s="48" t="s">
        <v>671</v>
      </c>
    </row>
    <row r="134" spans="1:3" x14ac:dyDescent="0.2">
      <c r="A134" s="47" t="s">
        <v>672</v>
      </c>
      <c r="B134" s="43" t="s">
        <v>673</v>
      </c>
      <c r="C134" s="48" t="s">
        <v>674</v>
      </c>
    </row>
    <row r="135" spans="1:3" x14ac:dyDescent="0.2">
      <c r="A135" s="47" t="s">
        <v>675</v>
      </c>
      <c r="B135" s="43" t="s">
        <v>676</v>
      </c>
      <c r="C135" s="48" t="s">
        <v>677</v>
      </c>
    </row>
    <row r="136" spans="1:3" x14ac:dyDescent="0.2">
      <c r="A136" s="47" t="s">
        <v>678</v>
      </c>
      <c r="B136" s="43" t="s">
        <v>679</v>
      </c>
      <c r="C136" s="48" t="s">
        <v>680</v>
      </c>
    </row>
    <row r="137" spans="1:3" x14ac:dyDescent="0.2">
      <c r="A137" s="47" t="s">
        <v>681</v>
      </c>
      <c r="B137" s="43" t="s">
        <v>682</v>
      </c>
      <c r="C137" s="48" t="s">
        <v>683</v>
      </c>
    </row>
    <row r="138" spans="1:3" x14ac:dyDescent="0.2">
      <c r="A138" s="47" t="s">
        <v>684</v>
      </c>
      <c r="B138" s="43" t="s">
        <v>685</v>
      </c>
      <c r="C138" s="48" t="s">
        <v>686</v>
      </c>
    </row>
    <row r="139" spans="1:3" x14ac:dyDescent="0.2">
      <c r="A139" s="47" t="s">
        <v>687</v>
      </c>
      <c r="B139" s="43" t="s">
        <v>688</v>
      </c>
      <c r="C139" s="48" t="s">
        <v>689</v>
      </c>
    </row>
    <row r="140" spans="1:3" x14ac:dyDescent="0.2">
      <c r="A140" s="47" t="s">
        <v>690</v>
      </c>
      <c r="B140" s="43" t="s">
        <v>691</v>
      </c>
      <c r="C140" s="48" t="s">
        <v>692</v>
      </c>
    </row>
    <row r="141" spans="1:3" x14ac:dyDescent="0.2">
      <c r="A141" s="47" t="s">
        <v>693</v>
      </c>
      <c r="B141" s="43" t="s">
        <v>694</v>
      </c>
      <c r="C141" s="48" t="s">
        <v>695</v>
      </c>
    </row>
    <row r="142" spans="1:3" x14ac:dyDescent="0.2">
      <c r="A142" s="47" t="s">
        <v>696</v>
      </c>
      <c r="B142" s="43" t="s">
        <v>697</v>
      </c>
      <c r="C142" s="48" t="s">
        <v>698</v>
      </c>
    </row>
    <row r="143" spans="1:3" x14ac:dyDescent="0.2">
      <c r="A143" s="47" t="s">
        <v>699</v>
      </c>
      <c r="B143" s="43" t="s">
        <v>700</v>
      </c>
      <c r="C143" s="48" t="s">
        <v>701</v>
      </c>
    </row>
    <row r="144" spans="1:3" x14ac:dyDescent="0.2">
      <c r="A144" s="47" t="s">
        <v>702</v>
      </c>
      <c r="B144" s="43" t="s">
        <v>703</v>
      </c>
      <c r="C144" s="48" t="s">
        <v>704</v>
      </c>
    </row>
    <row r="145" spans="1:3" x14ac:dyDescent="0.2">
      <c r="A145" s="47" t="s">
        <v>705</v>
      </c>
      <c r="B145" s="43" t="s">
        <v>706</v>
      </c>
      <c r="C145" s="48" t="s">
        <v>707</v>
      </c>
    </row>
    <row r="146" spans="1:3" x14ac:dyDescent="0.2">
      <c r="A146" s="47" t="s">
        <v>708</v>
      </c>
      <c r="B146" s="43" t="s">
        <v>709</v>
      </c>
      <c r="C146" s="48" t="s">
        <v>710</v>
      </c>
    </row>
    <row r="147" spans="1:3" x14ac:dyDescent="0.2">
      <c r="A147" s="47" t="s">
        <v>711</v>
      </c>
      <c r="B147" s="43" t="s">
        <v>712</v>
      </c>
      <c r="C147" s="48" t="s">
        <v>713</v>
      </c>
    </row>
    <row r="148" spans="1:3" x14ac:dyDescent="0.2">
      <c r="A148" s="47" t="s">
        <v>714</v>
      </c>
      <c r="B148" s="43" t="s">
        <v>715</v>
      </c>
      <c r="C148" s="48" t="s">
        <v>716</v>
      </c>
    </row>
    <row r="149" spans="1:3" x14ac:dyDescent="0.2">
      <c r="A149" s="47" t="s">
        <v>717</v>
      </c>
      <c r="B149" s="43" t="s">
        <v>718</v>
      </c>
      <c r="C149" s="48" t="s">
        <v>719</v>
      </c>
    </row>
    <row r="150" spans="1:3" x14ac:dyDescent="0.2">
      <c r="A150" s="47" t="s">
        <v>720</v>
      </c>
      <c r="B150" s="43" t="s">
        <v>721</v>
      </c>
      <c r="C150" s="48" t="s">
        <v>722</v>
      </c>
    </row>
    <row r="151" spans="1:3" x14ac:dyDescent="0.2">
      <c r="A151" s="47" t="s">
        <v>723</v>
      </c>
      <c r="B151" s="43" t="s">
        <v>724</v>
      </c>
      <c r="C151" s="48" t="s">
        <v>725</v>
      </c>
    </row>
    <row r="152" spans="1:3" x14ac:dyDescent="0.2">
      <c r="A152" s="47" t="s">
        <v>726</v>
      </c>
      <c r="B152" s="43" t="s">
        <v>727</v>
      </c>
      <c r="C152" s="48" t="s">
        <v>728</v>
      </c>
    </row>
    <row r="153" spans="1:3" x14ac:dyDescent="0.2">
      <c r="A153" s="47" t="s">
        <v>729</v>
      </c>
      <c r="B153" s="43" t="s">
        <v>730</v>
      </c>
      <c r="C153" s="48" t="s">
        <v>731</v>
      </c>
    </row>
    <row r="154" spans="1:3" x14ac:dyDescent="0.2">
      <c r="A154" s="47" t="s">
        <v>732</v>
      </c>
      <c r="B154" s="43" t="s">
        <v>733</v>
      </c>
      <c r="C154" s="48" t="s">
        <v>734</v>
      </c>
    </row>
    <row r="155" spans="1:3" x14ac:dyDescent="0.2">
      <c r="A155" s="47" t="s">
        <v>735</v>
      </c>
      <c r="B155" s="43" t="s">
        <v>736</v>
      </c>
      <c r="C155" s="48" t="s">
        <v>737</v>
      </c>
    </row>
    <row r="156" spans="1:3" x14ac:dyDescent="0.2">
      <c r="A156" s="47" t="s">
        <v>738</v>
      </c>
      <c r="B156" s="43" t="s">
        <v>739</v>
      </c>
      <c r="C156" s="48" t="s">
        <v>740</v>
      </c>
    </row>
    <row r="157" spans="1:3" x14ac:dyDescent="0.2">
      <c r="A157" s="47" t="s">
        <v>741</v>
      </c>
      <c r="B157" s="43" t="s">
        <v>742</v>
      </c>
      <c r="C157" s="48" t="s">
        <v>743</v>
      </c>
    </row>
    <row r="158" spans="1:3" x14ac:dyDescent="0.2">
      <c r="A158" s="47" t="s">
        <v>744</v>
      </c>
      <c r="B158" s="43" t="s">
        <v>745</v>
      </c>
      <c r="C158" s="48" t="s">
        <v>746</v>
      </c>
    </row>
    <row r="159" spans="1:3" x14ac:dyDescent="0.2">
      <c r="A159" s="47" t="s">
        <v>747</v>
      </c>
      <c r="B159" s="43" t="s">
        <v>748</v>
      </c>
      <c r="C159" s="48" t="s">
        <v>749</v>
      </c>
    </row>
    <row r="160" spans="1:3" x14ac:dyDescent="0.2">
      <c r="A160" s="47" t="s">
        <v>750</v>
      </c>
      <c r="B160" s="43" t="s">
        <v>751</v>
      </c>
      <c r="C160" s="48" t="s">
        <v>752</v>
      </c>
    </row>
    <row r="161" spans="1:3" x14ac:dyDescent="0.2">
      <c r="A161" s="47" t="s">
        <v>753</v>
      </c>
      <c r="B161" s="43" t="s">
        <v>754</v>
      </c>
      <c r="C161" s="48" t="s">
        <v>755</v>
      </c>
    </row>
    <row r="162" spans="1:3" x14ac:dyDescent="0.2">
      <c r="A162" s="47" t="s">
        <v>756</v>
      </c>
      <c r="B162" s="43" t="s">
        <v>757</v>
      </c>
      <c r="C162" s="48" t="s">
        <v>758</v>
      </c>
    </row>
    <row r="163" spans="1:3" x14ac:dyDescent="0.2">
      <c r="A163" s="47" t="s">
        <v>759</v>
      </c>
      <c r="B163" s="43" t="s">
        <v>760</v>
      </c>
      <c r="C163" s="48" t="s">
        <v>761</v>
      </c>
    </row>
    <row r="164" spans="1:3" x14ac:dyDescent="0.2">
      <c r="A164" s="47" t="s">
        <v>762</v>
      </c>
      <c r="B164" s="43" t="s">
        <v>763</v>
      </c>
      <c r="C164" s="48" t="s">
        <v>764</v>
      </c>
    </row>
    <row r="165" spans="1:3" x14ac:dyDescent="0.2">
      <c r="A165" s="47" t="s">
        <v>765</v>
      </c>
      <c r="B165" s="43" t="s">
        <v>766</v>
      </c>
      <c r="C165" s="48" t="s">
        <v>767</v>
      </c>
    </row>
    <row r="166" spans="1:3" x14ac:dyDescent="0.2">
      <c r="A166" s="47"/>
      <c r="B166" s="43"/>
      <c r="C166" s="48"/>
    </row>
    <row r="167" spans="1:3" x14ac:dyDescent="0.2">
      <c r="A167" s="47"/>
      <c r="B167" s="43"/>
      <c r="C167" s="48"/>
    </row>
    <row r="168" spans="1:3" x14ac:dyDescent="0.2">
      <c r="A168" s="47"/>
      <c r="B168" s="43"/>
      <c r="C168" s="48"/>
    </row>
    <row r="169" spans="1:3" x14ac:dyDescent="0.2">
      <c r="A169" s="47"/>
      <c r="B169" s="43"/>
      <c r="C169" s="48"/>
    </row>
    <row r="170" spans="1:3" x14ac:dyDescent="0.2">
      <c r="A170" s="47"/>
      <c r="B170" s="43"/>
      <c r="C170" s="48"/>
    </row>
    <row r="171" spans="1:3" x14ac:dyDescent="0.2">
      <c r="A171" s="47"/>
      <c r="B171" s="43"/>
      <c r="C171" s="48"/>
    </row>
    <row r="172" spans="1:3" x14ac:dyDescent="0.2">
      <c r="A172" s="47"/>
      <c r="B172" s="43"/>
      <c r="C172" s="48"/>
    </row>
    <row r="173" spans="1:3" x14ac:dyDescent="0.2">
      <c r="A173" s="47"/>
      <c r="B173" s="43"/>
      <c r="C173" s="48"/>
    </row>
    <row r="174" spans="1:3" x14ac:dyDescent="0.2">
      <c r="A174" s="47"/>
      <c r="B174" s="43"/>
      <c r="C174" s="48"/>
    </row>
    <row r="175" spans="1:3" x14ac:dyDescent="0.2">
      <c r="A175" s="47"/>
      <c r="B175" s="43"/>
      <c r="C175" s="48"/>
    </row>
    <row r="176" spans="1:3" x14ac:dyDescent="0.2">
      <c r="A176" s="47"/>
      <c r="B176" s="43"/>
      <c r="C176" s="48"/>
    </row>
    <row r="177" spans="1:3" x14ac:dyDescent="0.2">
      <c r="A177" s="47"/>
      <c r="B177" s="43"/>
      <c r="C177" s="48"/>
    </row>
    <row r="178" spans="1:3" x14ac:dyDescent="0.2">
      <c r="A178" s="47"/>
      <c r="B178" s="43"/>
      <c r="C178" s="48"/>
    </row>
    <row r="179" spans="1:3" x14ac:dyDescent="0.2">
      <c r="A179" s="47"/>
      <c r="B179" s="43"/>
      <c r="C179" s="48"/>
    </row>
    <row r="180" spans="1:3" x14ac:dyDescent="0.2">
      <c r="A180" s="47"/>
      <c r="B180" s="43"/>
      <c r="C180" s="48"/>
    </row>
    <row r="181" spans="1:3" x14ac:dyDescent="0.2">
      <c r="A181" s="47"/>
      <c r="B181" s="43"/>
      <c r="C181" s="48"/>
    </row>
    <row r="182" spans="1:3" x14ac:dyDescent="0.2">
      <c r="A182" s="47"/>
      <c r="B182" s="43"/>
      <c r="C182" s="48"/>
    </row>
    <row r="183" spans="1:3" x14ac:dyDescent="0.2">
      <c r="A183" s="47"/>
      <c r="B183" s="43"/>
      <c r="C183" s="48"/>
    </row>
    <row r="184" spans="1:3" x14ac:dyDescent="0.2">
      <c r="A184" s="47"/>
      <c r="B184" s="43"/>
      <c r="C184" s="48"/>
    </row>
    <row r="185" spans="1:3" x14ac:dyDescent="0.2">
      <c r="A185" s="47"/>
      <c r="B185" s="43"/>
      <c r="C185" s="48"/>
    </row>
    <row r="186" spans="1:3" x14ac:dyDescent="0.2">
      <c r="A186" s="47"/>
      <c r="B186" s="43"/>
      <c r="C186" s="48"/>
    </row>
    <row r="187" spans="1:3" x14ac:dyDescent="0.2">
      <c r="A187" s="47"/>
      <c r="B187" s="43"/>
      <c r="C187" s="48"/>
    </row>
    <row r="188" spans="1:3" x14ac:dyDescent="0.2">
      <c r="A188" s="47"/>
      <c r="B188" s="43"/>
      <c r="C188" s="48"/>
    </row>
    <row r="189" spans="1:3" x14ac:dyDescent="0.2">
      <c r="A189" s="47"/>
      <c r="B189" s="43"/>
      <c r="C189" s="48"/>
    </row>
    <row r="190" spans="1:3" x14ac:dyDescent="0.2">
      <c r="A190" s="47"/>
      <c r="B190" s="43"/>
      <c r="C190" s="48"/>
    </row>
    <row r="191" spans="1:3" x14ac:dyDescent="0.2">
      <c r="A191" s="47"/>
      <c r="B191" s="43"/>
      <c r="C191" s="48"/>
    </row>
    <row r="192" spans="1:3" x14ac:dyDescent="0.2">
      <c r="A192" s="47"/>
      <c r="B192" s="43"/>
      <c r="C192" s="48"/>
    </row>
    <row r="193" spans="1:3" x14ac:dyDescent="0.2">
      <c r="A193" s="47"/>
      <c r="B193" s="43"/>
      <c r="C193" s="48"/>
    </row>
    <row r="194" spans="1:3" x14ac:dyDescent="0.2">
      <c r="A194" s="49"/>
      <c r="B194" s="50"/>
      <c r="C194" s="5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O183"/>
  <sheetViews>
    <sheetView topLeftCell="A22" zoomScale="85" zoomScaleNormal="85" workbookViewId="0">
      <selection activeCell="O183" sqref="O183"/>
    </sheetView>
  </sheetViews>
  <sheetFormatPr defaultRowHeight="12.75" x14ac:dyDescent="0.2"/>
  <cols>
    <col min="2" max="2" width="17.7109375" bestFit="1" customWidth="1"/>
    <col min="3" max="3" width="18" bestFit="1" customWidth="1"/>
    <col min="4" max="4" width="22.140625" bestFit="1" customWidth="1"/>
    <col min="5" max="5" width="20.28515625" bestFit="1" customWidth="1"/>
    <col min="6" max="6" width="14.5703125" bestFit="1" customWidth="1"/>
    <col min="7" max="7" width="13.85546875" bestFit="1" customWidth="1"/>
    <col min="8" max="8" width="21.5703125" bestFit="1" customWidth="1"/>
    <col min="9" max="9" width="15" bestFit="1" customWidth="1"/>
    <col min="10" max="10" width="15.5703125" bestFit="1" customWidth="1"/>
    <col min="11" max="11" width="13.42578125" bestFit="1" customWidth="1"/>
    <col min="12" max="12" width="9.42578125" customWidth="1"/>
  </cols>
  <sheetData>
    <row r="1" spans="1:14" ht="15" x14ac:dyDescent="0.2">
      <c r="A1" s="137" t="s">
        <v>1262</v>
      </c>
      <c r="B1" s="138"/>
      <c r="C1" s="138"/>
      <c r="D1" s="88"/>
      <c r="E1" s="88"/>
      <c r="F1" s="88"/>
      <c r="G1" s="88"/>
      <c r="H1" s="88"/>
      <c r="I1" s="88"/>
      <c r="J1" s="89"/>
      <c r="L1" s="136" t="s">
        <v>1420</v>
      </c>
      <c r="M1" s="130"/>
      <c r="N1" s="131"/>
    </row>
    <row r="2" spans="1:14" x14ac:dyDescent="0.2">
      <c r="A2" s="80" t="s">
        <v>1</v>
      </c>
      <c r="B2" s="101" t="s">
        <v>220</v>
      </c>
      <c r="C2" s="81" t="s">
        <v>211</v>
      </c>
      <c r="D2" s="81" t="s">
        <v>967</v>
      </c>
      <c r="E2" s="81" t="s">
        <v>43</v>
      </c>
      <c r="F2" s="81" t="s">
        <v>954</v>
      </c>
      <c r="G2" s="81" t="s">
        <v>1444</v>
      </c>
      <c r="H2" s="81" t="s">
        <v>1443</v>
      </c>
      <c r="I2" s="81" t="s">
        <v>1445</v>
      </c>
      <c r="J2" s="82" t="s">
        <v>1446</v>
      </c>
      <c r="L2" s="80" t="s">
        <v>1</v>
      </c>
      <c r="M2" s="81" t="s">
        <v>211</v>
      </c>
      <c r="N2" s="82" t="s">
        <v>212</v>
      </c>
    </row>
    <row r="3" spans="1:14" x14ac:dyDescent="0.2">
      <c r="A3" s="83">
        <v>1</v>
      </c>
      <c r="B3" s="43"/>
      <c r="C3" s="43" t="s">
        <v>1439</v>
      </c>
      <c r="D3" s="43" t="s">
        <v>1255</v>
      </c>
      <c r="E3" s="43" t="s">
        <v>1452</v>
      </c>
      <c r="F3" s="43">
        <v>9876543210</v>
      </c>
      <c r="G3" s="43"/>
      <c r="H3" s="43"/>
      <c r="I3" s="43"/>
      <c r="J3" s="79"/>
      <c r="L3" s="83">
        <v>1</v>
      </c>
      <c r="M3" s="43" t="s">
        <v>1428</v>
      </c>
      <c r="N3" s="79" t="s">
        <v>1429</v>
      </c>
    </row>
    <row r="4" spans="1:14" x14ac:dyDescent="0.2">
      <c r="A4" s="83">
        <v>2</v>
      </c>
      <c r="B4" s="43"/>
      <c r="C4" s="43" t="s">
        <v>1337</v>
      </c>
      <c r="D4" s="43"/>
      <c r="E4" s="43"/>
      <c r="F4" s="43"/>
      <c r="G4" s="97" t="s">
        <v>1447</v>
      </c>
      <c r="H4" s="97" t="s">
        <v>1448</v>
      </c>
      <c r="I4" s="43">
        <v>9010</v>
      </c>
      <c r="J4" s="79" t="s">
        <v>1449</v>
      </c>
      <c r="L4" s="83">
        <v>2</v>
      </c>
      <c r="M4" s="43" t="s">
        <v>1426</v>
      </c>
      <c r="N4" s="79" t="s">
        <v>1427</v>
      </c>
    </row>
    <row r="5" spans="1:14" x14ac:dyDescent="0.2">
      <c r="A5" s="83">
        <v>3</v>
      </c>
      <c r="B5" s="43"/>
      <c r="C5" s="43" t="s">
        <v>1457</v>
      </c>
      <c r="D5" s="43"/>
      <c r="E5" s="43"/>
      <c r="F5" s="43"/>
      <c r="G5" s="43"/>
      <c r="H5" s="43"/>
      <c r="I5" s="43"/>
      <c r="J5" s="79"/>
      <c r="L5" s="83">
        <v>3</v>
      </c>
      <c r="M5" s="43" t="s">
        <v>1433</v>
      </c>
      <c r="N5" s="79" t="s">
        <v>1436</v>
      </c>
    </row>
    <row r="6" spans="1:14" x14ac:dyDescent="0.2">
      <c r="A6" s="83">
        <v>4</v>
      </c>
      <c r="B6" s="43"/>
      <c r="C6" s="43" t="s">
        <v>1339</v>
      </c>
      <c r="D6" s="43"/>
      <c r="E6" s="43"/>
      <c r="F6" s="43"/>
      <c r="G6" s="43"/>
      <c r="H6" s="43"/>
      <c r="I6" s="43"/>
      <c r="J6" s="79"/>
      <c r="L6" s="98">
        <v>4</v>
      </c>
      <c r="M6" s="97" t="s">
        <v>1421</v>
      </c>
      <c r="N6" s="109" t="s">
        <v>1005</v>
      </c>
    </row>
    <row r="7" spans="1:14" x14ac:dyDescent="0.2">
      <c r="A7" s="83">
        <v>5</v>
      </c>
      <c r="B7" s="43"/>
      <c r="C7" s="43" t="s">
        <v>1456</v>
      </c>
      <c r="D7" s="43"/>
      <c r="E7" s="43"/>
      <c r="F7" s="43"/>
      <c r="G7" s="43"/>
      <c r="H7" s="43"/>
      <c r="I7" s="43"/>
      <c r="J7" s="79"/>
      <c r="L7" s="98">
        <v>5</v>
      </c>
      <c r="M7" s="97" t="s">
        <v>1434</v>
      </c>
      <c r="N7" s="109" t="s">
        <v>1437</v>
      </c>
    </row>
    <row r="8" spans="1:14" x14ac:dyDescent="0.2">
      <c r="A8" s="83">
        <v>6</v>
      </c>
      <c r="B8" s="43"/>
      <c r="C8" s="43" t="s">
        <v>1450</v>
      </c>
      <c r="D8" s="43" t="s">
        <v>1451</v>
      </c>
      <c r="E8" s="43" t="s">
        <v>1003</v>
      </c>
      <c r="F8" s="43"/>
      <c r="G8" s="43"/>
      <c r="H8" s="43"/>
      <c r="I8" s="43"/>
      <c r="J8" s="79"/>
      <c r="L8" s="98">
        <v>6</v>
      </c>
      <c r="M8" s="97" t="s">
        <v>1422</v>
      </c>
      <c r="N8" s="109" t="s">
        <v>1423</v>
      </c>
    </row>
    <row r="9" spans="1:14" ht="13.5" thickBot="1" x14ac:dyDescent="0.25">
      <c r="A9" s="84">
        <v>7</v>
      </c>
      <c r="B9" s="85"/>
      <c r="C9" s="85" t="s">
        <v>1440</v>
      </c>
      <c r="D9" s="85" t="s">
        <v>1441</v>
      </c>
      <c r="E9" s="85" t="s">
        <v>1442</v>
      </c>
      <c r="F9" s="85">
        <v>99785</v>
      </c>
      <c r="G9" s="85"/>
      <c r="H9" s="85"/>
      <c r="I9" s="85"/>
      <c r="J9" s="87"/>
      <c r="L9" s="98">
        <v>7</v>
      </c>
      <c r="M9" s="97" t="s">
        <v>1435</v>
      </c>
      <c r="N9" s="109" t="s">
        <v>1438</v>
      </c>
    </row>
    <row r="10" spans="1:14" ht="13.5" thickBot="1" x14ac:dyDescent="0.25">
      <c r="L10" s="108">
        <v>8</v>
      </c>
      <c r="M10" s="92" t="s">
        <v>1424</v>
      </c>
      <c r="N10" s="110" t="s">
        <v>1425</v>
      </c>
    </row>
    <row r="11" spans="1:14" s="99" customFormat="1" ht="13.5" thickBot="1" x14ac:dyDescent="0.25">
      <c r="L11" s="97"/>
      <c r="M11" s="97"/>
      <c r="N11" s="97"/>
    </row>
    <row r="12" spans="1:14" x14ac:dyDescent="0.2">
      <c r="A12" s="129" t="s">
        <v>1431</v>
      </c>
      <c r="B12" s="130"/>
      <c r="C12" s="131"/>
      <c r="E12" s="129" t="s">
        <v>1031</v>
      </c>
      <c r="F12" s="130"/>
      <c r="G12" s="130"/>
      <c r="H12" s="89"/>
      <c r="J12" s="123" t="s">
        <v>1035</v>
      </c>
      <c r="K12" s="124"/>
      <c r="L12" s="124"/>
      <c r="M12" s="89"/>
    </row>
    <row r="13" spans="1:14" s="99" customFormat="1" x14ac:dyDescent="0.2">
      <c r="A13" s="80" t="s">
        <v>1</v>
      </c>
      <c r="B13" s="81" t="s">
        <v>211</v>
      </c>
      <c r="C13" s="82" t="s">
        <v>212</v>
      </c>
      <c r="E13" s="80" t="s">
        <v>1</v>
      </c>
      <c r="F13" s="81" t="s">
        <v>211</v>
      </c>
      <c r="G13" s="81" t="s">
        <v>214</v>
      </c>
      <c r="H13" s="82" t="s">
        <v>870</v>
      </c>
      <c r="J13" s="80" t="s">
        <v>1</v>
      </c>
      <c r="K13" s="106" t="s">
        <v>1418</v>
      </c>
      <c r="L13" s="81" t="s">
        <v>1032</v>
      </c>
      <c r="M13" s="82" t="s">
        <v>870</v>
      </c>
    </row>
    <row r="14" spans="1:14" s="99" customFormat="1" x14ac:dyDescent="0.2">
      <c r="A14" s="83">
        <v>1</v>
      </c>
      <c r="B14" s="43" t="s">
        <v>1037</v>
      </c>
      <c r="C14" s="79" t="s">
        <v>1016</v>
      </c>
      <c r="E14" s="83">
        <v>1</v>
      </c>
      <c r="F14" s="43" t="s">
        <v>1020</v>
      </c>
      <c r="G14" s="93">
        <v>1</v>
      </c>
      <c r="H14" s="95">
        <v>42475</v>
      </c>
      <c r="J14" s="83">
        <v>1</v>
      </c>
      <c r="K14" s="43" t="s">
        <v>1033</v>
      </c>
      <c r="L14" s="93">
        <v>51.85</v>
      </c>
      <c r="M14" s="95">
        <v>75345</v>
      </c>
    </row>
    <row r="15" spans="1:14" s="99" customFormat="1" ht="13.5" thickBot="1" x14ac:dyDescent="0.25">
      <c r="A15" s="84">
        <v>2</v>
      </c>
      <c r="B15" s="85" t="s">
        <v>1038</v>
      </c>
      <c r="C15" s="87" t="s">
        <v>1039</v>
      </c>
      <c r="E15" s="83">
        <v>2</v>
      </c>
      <c r="F15" s="43" t="s">
        <v>1033</v>
      </c>
      <c r="G15" s="93">
        <v>51.87</v>
      </c>
      <c r="H15" s="95">
        <v>42475</v>
      </c>
      <c r="J15" s="83">
        <v>2</v>
      </c>
      <c r="K15" s="43" t="s">
        <v>1033</v>
      </c>
      <c r="L15" s="93">
        <v>51.79</v>
      </c>
      <c r="M15" s="95">
        <v>75344</v>
      </c>
    </row>
    <row r="16" spans="1:14" s="99" customFormat="1" ht="13.5" thickBot="1" x14ac:dyDescent="0.25">
      <c r="E16" s="83">
        <v>3</v>
      </c>
      <c r="F16" s="85" t="s">
        <v>1034</v>
      </c>
      <c r="G16" s="94">
        <v>66.56</v>
      </c>
      <c r="H16" s="96">
        <v>42475</v>
      </c>
      <c r="J16" s="83">
        <v>3</v>
      </c>
      <c r="K16" s="43" t="s">
        <v>1034</v>
      </c>
      <c r="L16" s="93">
        <v>66.540000000000006</v>
      </c>
      <c r="M16" s="95">
        <v>75345</v>
      </c>
    </row>
    <row r="17" spans="1:13" s="99" customFormat="1" ht="13.5" thickBot="1" x14ac:dyDescent="0.25">
      <c r="A17" s="129" t="s">
        <v>1127</v>
      </c>
      <c r="B17" s="130"/>
      <c r="C17" s="130"/>
      <c r="D17" s="88"/>
      <c r="E17" s="89"/>
      <c r="J17" s="84">
        <v>4</v>
      </c>
      <c r="K17" s="85" t="s">
        <v>1034</v>
      </c>
      <c r="L17" s="94">
        <v>66.489999999999995</v>
      </c>
      <c r="M17" s="96">
        <v>75344</v>
      </c>
    </row>
    <row r="18" spans="1:13" s="99" customFormat="1" x14ac:dyDescent="0.2">
      <c r="A18" s="80" t="s">
        <v>1</v>
      </c>
      <c r="B18" s="107" t="s">
        <v>211</v>
      </c>
      <c r="C18" s="107" t="s">
        <v>1467</v>
      </c>
      <c r="D18" s="107" t="s">
        <v>1468</v>
      </c>
      <c r="E18" s="82" t="s">
        <v>3</v>
      </c>
    </row>
    <row r="19" spans="1:13" s="99" customFormat="1" x14ac:dyDescent="0.2">
      <c r="A19" s="83">
        <v>1</v>
      </c>
      <c r="B19" s="111" t="s">
        <v>1466</v>
      </c>
      <c r="C19" s="90">
        <v>2958435</v>
      </c>
      <c r="D19" s="90">
        <v>2958465</v>
      </c>
      <c r="E19" s="109"/>
    </row>
    <row r="20" spans="1:13" s="99" customFormat="1" ht="13.5" thickBot="1" x14ac:dyDescent="0.25">
      <c r="A20" s="84">
        <v>2</v>
      </c>
      <c r="B20" s="85">
        <v>20160301</v>
      </c>
      <c r="C20" s="86">
        <v>42430</v>
      </c>
      <c r="D20" s="86">
        <v>42460</v>
      </c>
      <c r="E20" s="110"/>
    </row>
    <row r="21" spans="1:13" s="99" customFormat="1" x14ac:dyDescent="0.2">
      <c r="A21" s="43"/>
      <c r="B21" s="43"/>
      <c r="C21" s="90"/>
      <c r="D21" s="90"/>
      <c r="E21" s="97"/>
    </row>
    <row r="22" spans="1:13" s="99" customFormat="1" x14ac:dyDescent="0.2">
      <c r="A22" s="43"/>
      <c r="B22" s="43"/>
      <c r="C22" s="90"/>
      <c r="D22" s="90"/>
      <c r="E22" s="97"/>
    </row>
    <row r="23" spans="1:13" s="100" customFormat="1" x14ac:dyDescent="0.2">
      <c r="A23" s="43"/>
      <c r="B23" s="43"/>
      <c r="C23" s="90"/>
      <c r="D23" s="90"/>
      <c r="E23" s="97"/>
    </row>
    <row r="24" spans="1:13" s="100" customFormat="1" x14ac:dyDescent="0.2">
      <c r="A24" s="43"/>
      <c r="B24" s="43"/>
      <c r="C24" s="90"/>
      <c r="D24" s="90"/>
      <c r="E24" s="97"/>
    </row>
    <row r="25" spans="1:13" s="100" customFormat="1" x14ac:dyDescent="0.2">
      <c r="A25" s="43"/>
      <c r="B25" s="43"/>
      <c r="C25" s="90"/>
      <c r="D25" s="90"/>
      <c r="E25" s="97"/>
    </row>
    <row r="26" spans="1:13" s="100" customFormat="1" x14ac:dyDescent="0.2">
      <c r="A26" s="43"/>
      <c r="B26" s="43"/>
      <c r="C26" s="90"/>
      <c r="D26" s="90"/>
      <c r="E26" s="97"/>
    </row>
    <row r="27" spans="1:13" s="100" customFormat="1" ht="13.5" thickBot="1" x14ac:dyDescent="0.25">
      <c r="A27" s="43"/>
      <c r="B27" s="43"/>
      <c r="C27" s="90"/>
      <c r="D27" s="90"/>
      <c r="E27" s="97"/>
    </row>
    <row r="28" spans="1:13" s="112" customFormat="1" ht="15" x14ac:dyDescent="0.2">
      <c r="A28" s="139" t="s">
        <v>1009</v>
      </c>
      <c r="B28" s="140"/>
      <c r="C28" s="140"/>
      <c r="D28" s="88"/>
      <c r="E28" s="89"/>
    </row>
    <row r="29" spans="1:13" s="112" customFormat="1" x14ac:dyDescent="0.2">
      <c r="A29" s="80" t="s">
        <v>1</v>
      </c>
      <c r="B29" s="101" t="s">
        <v>220</v>
      </c>
      <c r="C29" s="81" t="s">
        <v>211</v>
      </c>
      <c r="D29" s="106" t="s">
        <v>1461</v>
      </c>
      <c r="E29" s="116" t="s">
        <v>1418</v>
      </c>
    </row>
    <row r="30" spans="1:13" s="112" customFormat="1" x14ac:dyDescent="0.2">
      <c r="A30" s="83">
        <v>1</v>
      </c>
      <c r="B30" s="43"/>
      <c r="C30" s="43" t="s">
        <v>1015</v>
      </c>
      <c r="D30" s="43"/>
      <c r="E30" s="79"/>
    </row>
    <row r="31" spans="1:13" s="112" customFormat="1" ht="13.5" thickBot="1" x14ac:dyDescent="0.25">
      <c r="A31" s="84"/>
      <c r="B31" s="85"/>
      <c r="C31" s="85"/>
      <c r="D31" s="85"/>
      <c r="E31" s="87"/>
    </row>
    <row r="32" spans="1:13" s="112" customFormat="1" x14ac:dyDescent="0.2">
      <c r="A32" s="127" t="s">
        <v>1010</v>
      </c>
      <c r="B32" s="128"/>
      <c r="C32" s="128"/>
      <c r="D32" s="43"/>
      <c r="E32" s="43"/>
      <c r="F32" s="88"/>
      <c r="G32" s="88"/>
      <c r="H32" s="88"/>
      <c r="I32" s="89"/>
    </row>
    <row r="33" spans="1:9" s="112" customFormat="1" x14ac:dyDescent="0.2">
      <c r="A33" s="80" t="s">
        <v>1</v>
      </c>
      <c r="B33" s="102" t="s">
        <v>963</v>
      </c>
      <c r="C33" s="101" t="s">
        <v>220</v>
      </c>
      <c r="D33" s="81" t="s">
        <v>956</v>
      </c>
      <c r="E33" s="81" t="s">
        <v>957</v>
      </c>
      <c r="F33" s="102" t="s">
        <v>1430</v>
      </c>
      <c r="G33" s="102" t="s">
        <v>1460</v>
      </c>
      <c r="H33" s="107" t="s">
        <v>967</v>
      </c>
      <c r="I33" s="82" t="s">
        <v>162</v>
      </c>
    </row>
    <row r="34" spans="1:9" s="112" customFormat="1" ht="13.5" thickBot="1" x14ac:dyDescent="0.25">
      <c r="A34" s="84">
        <v>1</v>
      </c>
      <c r="B34" s="85">
        <v>1</v>
      </c>
      <c r="C34" s="85"/>
      <c r="D34" s="86">
        <v>42470</v>
      </c>
      <c r="E34" s="85">
        <v>40000</v>
      </c>
      <c r="F34" s="85" t="s">
        <v>1016</v>
      </c>
      <c r="G34" s="85">
        <v>1</v>
      </c>
      <c r="H34" s="85"/>
      <c r="I34" s="103">
        <v>42475.086557407405</v>
      </c>
    </row>
    <row r="35" spans="1:9" s="112" customFormat="1" ht="13.5" thickBot="1" x14ac:dyDescent="0.25"/>
    <row r="36" spans="1:9" s="112" customFormat="1" ht="15" x14ac:dyDescent="0.2">
      <c r="A36" s="139" t="s">
        <v>1593</v>
      </c>
      <c r="B36" s="140"/>
      <c r="C36" s="140"/>
      <c r="D36" s="88"/>
      <c r="E36" s="89"/>
    </row>
    <row r="37" spans="1:9" s="112" customFormat="1" x14ac:dyDescent="0.2">
      <c r="A37" s="80" t="s">
        <v>1</v>
      </c>
      <c r="B37" s="101" t="s">
        <v>220</v>
      </c>
      <c r="C37" s="81" t="s">
        <v>211</v>
      </c>
      <c r="D37" s="106" t="s">
        <v>1461</v>
      </c>
      <c r="E37" s="116" t="s">
        <v>1418</v>
      </c>
    </row>
    <row r="38" spans="1:9" s="112" customFormat="1" x14ac:dyDescent="0.2">
      <c r="A38" s="83">
        <v>1</v>
      </c>
      <c r="B38" s="43"/>
      <c r="C38" s="111" t="s">
        <v>1018</v>
      </c>
      <c r="D38" s="43"/>
      <c r="E38" s="79"/>
    </row>
    <row r="39" spans="1:9" s="112" customFormat="1" ht="13.5" thickBot="1" x14ac:dyDescent="0.25">
      <c r="A39" s="84"/>
      <c r="B39" s="85"/>
      <c r="C39" s="85"/>
      <c r="D39" s="85"/>
      <c r="E39" s="87"/>
    </row>
    <row r="40" spans="1:9" s="112" customFormat="1" x14ac:dyDescent="0.2">
      <c r="A40" s="141" t="s">
        <v>1824</v>
      </c>
      <c r="B40" s="128"/>
      <c r="C40" s="128"/>
      <c r="D40" s="43"/>
      <c r="E40" s="43"/>
      <c r="F40" s="88"/>
      <c r="G40" s="88"/>
      <c r="H40" s="88"/>
      <c r="I40" s="89"/>
    </row>
    <row r="41" spans="1:9" s="112" customFormat="1" x14ac:dyDescent="0.2">
      <c r="A41" s="80" t="s">
        <v>1</v>
      </c>
      <c r="B41" s="106" t="s">
        <v>1592</v>
      </c>
      <c r="C41" s="101" t="s">
        <v>220</v>
      </c>
      <c r="D41" s="81" t="s">
        <v>956</v>
      </c>
      <c r="E41" s="81" t="s">
        <v>957</v>
      </c>
      <c r="F41" s="102" t="s">
        <v>1430</v>
      </c>
      <c r="G41" s="102" t="s">
        <v>1460</v>
      </c>
      <c r="H41" s="107" t="s">
        <v>967</v>
      </c>
      <c r="I41" s="82" t="s">
        <v>162</v>
      </c>
    </row>
    <row r="42" spans="1:9" s="112" customFormat="1" ht="13.5" thickBot="1" x14ac:dyDescent="0.25">
      <c r="A42" s="84">
        <v>1</v>
      </c>
      <c r="B42" s="85">
        <v>1</v>
      </c>
      <c r="C42" s="85"/>
      <c r="D42" s="86">
        <v>42470</v>
      </c>
      <c r="E42" s="85">
        <v>40000</v>
      </c>
      <c r="F42" s="85" t="s">
        <v>1016</v>
      </c>
      <c r="G42" s="85">
        <v>1</v>
      </c>
      <c r="H42" s="85"/>
      <c r="I42" s="103">
        <v>42475.086557407405</v>
      </c>
    </row>
    <row r="43" spans="1:9" s="112" customFormat="1" ht="13.5" thickBot="1" x14ac:dyDescent="0.25"/>
    <row r="44" spans="1:9" s="112" customFormat="1" ht="15" x14ac:dyDescent="0.2">
      <c r="A44" s="139" t="s">
        <v>1594</v>
      </c>
      <c r="B44" s="140"/>
      <c r="C44" s="140"/>
      <c r="D44" s="88"/>
      <c r="E44" s="89"/>
    </row>
    <row r="45" spans="1:9" s="112" customFormat="1" x14ac:dyDescent="0.2">
      <c r="A45" s="80" t="s">
        <v>1</v>
      </c>
      <c r="B45" s="101" t="s">
        <v>220</v>
      </c>
      <c r="C45" s="81" t="s">
        <v>211</v>
      </c>
      <c r="D45" s="106" t="s">
        <v>1461</v>
      </c>
      <c r="E45" s="116" t="s">
        <v>1418</v>
      </c>
    </row>
    <row r="46" spans="1:9" s="112" customFormat="1" x14ac:dyDescent="0.2">
      <c r="A46" s="83">
        <v>1</v>
      </c>
      <c r="B46" s="43"/>
      <c r="C46" s="111" t="s">
        <v>1595</v>
      </c>
      <c r="D46" s="43"/>
      <c r="E46" s="79"/>
    </row>
    <row r="47" spans="1:9" s="112" customFormat="1" ht="13.5" thickBot="1" x14ac:dyDescent="0.25">
      <c r="A47" s="84"/>
      <c r="B47" s="85"/>
      <c r="C47" s="85"/>
      <c r="D47" s="85"/>
      <c r="E47" s="87"/>
    </row>
    <row r="48" spans="1:9" s="112" customFormat="1" x14ac:dyDescent="0.2">
      <c r="A48" s="141" t="s">
        <v>1825</v>
      </c>
      <c r="B48" s="128"/>
      <c r="C48" s="128"/>
      <c r="D48" s="43"/>
      <c r="E48" s="43"/>
      <c r="F48" s="88"/>
      <c r="G48" s="88"/>
      <c r="H48" s="88"/>
      <c r="I48" s="89"/>
    </row>
    <row r="49" spans="1:13" s="112" customFormat="1" x14ac:dyDescent="0.2">
      <c r="A49" s="80" t="s">
        <v>1</v>
      </c>
      <c r="B49" s="106" t="s">
        <v>1596</v>
      </c>
      <c r="C49" s="101" t="s">
        <v>220</v>
      </c>
      <c r="D49" s="81" t="s">
        <v>956</v>
      </c>
      <c r="E49" s="81" t="s">
        <v>957</v>
      </c>
      <c r="F49" s="102" t="s">
        <v>1430</v>
      </c>
      <c r="G49" s="102" t="s">
        <v>1460</v>
      </c>
      <c r="H49" s="107" t="s">
        <v>967</v>
      </c>
      <c r="I49" s="82" t="s">
        <v>162</v>
      </c>
    </row>
    <row r="50" spans="1:13" s="112" customFormat="1" ht="13.5" thickBot="1" x14ac:dyDescent="0.25">
      <c r="A50" s="84">
        <v>1</v>
      </c>
      <c r="B50" s="85">
        <v>1</v>
      </c>
      <c r="C50" s="85"/>
      <c r="D50" s="86">
        <v>42470</v>
      </c>
      <c r="E50" s="85">
        <v>40000</v>
      </c>
      <c r="F50" s="85" t="s">
        <v>1016</v>
      </c>
      <c r="G50" s="85">
        <v>1</v>
      </c>
      <c r="H50" s="85"/>
      <c r="I50" s="103">
        <v>42475.086557407405</v>
      </c>
    </row>
    <row r="52" spans="1:13" s="100" customFormat="1" x14ac:dyDescent="0.2">
      <c r="A52" s="43"/>
      <c r="B52" s="43"/>
      <c r="C52" s="90"/>
      <c r="D52" s="90"/>
      <c r="E52" s="97"/>
    </row>
    <row r="53" spans="1:13" ht="13.5" thickBot="1" x14ac:dyDescent="0.25">
      <c r="E53" s="99"/>
      <c r="F53" s="99"/>
      <c r="G53" s="99"/>
      <c r="H53" s="99"/>
    </row>
    <row r="54" spans="1:13" x14ac:dyDescent="0.2">
      <c r="A54" s="123" t="s">
        <v>1479</v>
      </c>
      <c r="B54" s="124"/>
      <c r="C54" s="124"/>
      <c r="D54" s="88"/>
      <c r="E54" s="89"/>
      <c r="G54" s="136" t="s">
        <v>1040</v>
      </c>
      <c r="H54" s="130"/>
      <c r="I54" s="131"/>
      <c r="K54" s="129" t="s">
        <v>1462</v>
      </c>
      <c r="L54" s="130"/>
      <c r="M54" s="131"/>
    </row>
    <row r="55" spans="1:13" x14ac:dyDescent="0.2">
      <c r="A55" s="80" t="s">
        <v>1</v>
      </c>
      <c r="B55" s="101" t="s">
        <v>220</v>
      </c>
      <c r="C55" s="81" t="s">
        <v>211</v>
      </c>
      <c r="D55" s="102" t="s">
        <v>1461</v>
      </c>
      <c r="E55" s="116" t="s">
        <v>1418</v>
      </c>
      <c r="G55" s="80" t="s">
        <v>1</v>
      </c>
      <c r="H55" s="81" t="s">
        <v>211</v>
      </c>
      <c r="I55" s="82" t="s">
        <v>212</v>
      </c>
      <c r="K55" s="80" t="s">
        <v>1</v>
      </c>
      <c r="L55" s="81" t="s">
        <v>211</v>
      </c>
      <c r="M55" s="82" t="s">
        <v>212</v>
      </c>
    </row>
    <row r="56" spans="1:13" x14ac:dyDescent="0.2">
      <c r="A56" s="83">
        <v>1</v>
      </c>
      <c r="B56" s="43"/>
      <c r="C56" s="43" t="s">
        <v>1453</v>
      </c>
      <c r="D56" s="43">
        <v>6</v>
      </c>
      <c r="E56" s="79"/>
      <c r="G56" s="83">
        <v>1</v>
      </c>
      <c r="H56" s="43" t="s">
        <v>33</v>
      </c>
      <c r="I56" s="79" t="s">
        <v>895</v>
      </c>
      <c r="K56" s="83">
        <v>1</v>
      </c>
      <c r="L56" s="43" t="s">
        <v>1041</v>
      </c>
      <c r="M56" s="79" t="s">
        <v>882</v>
      </c>
    </row>
    <row r="57" spans="1:13" x14ac:dyDescent="0.2">
      <c r="A57" s="83">
        <v>2</v>
      </c>
      <c r="B57" s="43"/>
      <c r="C57" s="43" t="s">
        <v>1454</v>
      </c>
      <c r="D57" s="43">
        <v>5</v>
      </c>
      <c r="E57" s="79"/>
      <c r="G57" s="83">
        <v>2</v>
      </c>
      <c r="H57" s="43" t="s">
        <v>1041</v>
      </c>
      <c r="I57" s="79" t="s">
        <v>882</v>
      </c>
      <c r="K57" s="83">
        <v>2</v>
      </c>
      <c r="L57" s="43" t="s">
        <v>1045</v>
      </c>
      <c r="M57" s="79" t="s">
        <v>1046</v>
      </c>
    </row>
    <row r="58" spans="1:13" ht="13.5" thickBot="1" x14ac:dyDescent="0.25">
      <c r="A58" s="83">
        <v>3</v>
      </c>
      <c r="B58" s="43"/>
      <c r="C58" s="43" t="s">
        <v>1455</v>
      </c>
      <c r="D58" s="43">
        <v>3</v>
      </c>
      <c r="E58" s="79"/>
      <c r="G58" s="83">
        <v>3</v>
      </c>
      <c r="H58" s="43" t="s">
        <v>36</v>
      </c>
      <c r="I58" s="79" t="s">
        <v>1043</v>
      </c>
      <c r="K58" s="83"/>
      <c r="L58" s="43"/>
      <c r="M58" s="87"/>
    </row>
    <row r="59" spans="1:13" ht="15" x14ac:dyDescent="0.2">
      <c r="A59" s="139" t="s">
        <v>1006</v>
      </c>
      <c r="B59" s="140"/>
      <c r="C59" s="140"/>
      <c r="D59" s="88"/>
      <c r="E59" s="88"/>
      <c r="F59" s="88"/>
      <c r="G59" s="88"/>
      <c r="H59" s="88"/>
      <c r="I59" s="88"/>
      <c r="J59" s="88"/>
      <c r="K59" s="88"/>
      <c r="L59" s="89"/>
    </row>
    <row r="60" spans="1:13" x14ac:dyDescent="0.2">
      <c r="A60" s="80" t="s">
        <v>1</v>
      </c>
      <c r="B60" s="81" t="s">
        <v>211</v>
      </c>
      <c r="C60" s="101" t="s">
        <v>220</v>
      </c>
      <c r="D60" s="102" t="s">
        <v>1480</v>
      </c>
      <c r="E60" s="106" t="s">
        <v>1586</v>
      </c>
      <c r="F60" s="81" t="s">
        <v>1396</v>
      </c>
      <c r="G60" s="81" t="s">
        <v>928</v>
      </c>
      <c r="H60" s="106" t="s">
        <v>1419</v>
      </c>
      <c r="I60" s="81" t="s">
        <v>1458</v>
      </c>
      <c r="J60" s="81" t="s">
        <v>950</v>
      </c>
      <c r="K60" s="81" t="s">
        <v>3</v>
      </c>
      <c r="L60" s="82" t="s">
        <v>162</v>
      </c>
    </row>
    <row r="61" spans="1:13" ht="13.5" thickBot="1" x14ac:dyDescent="0.25">
      <c r="A61" s="84">
        <v>1</v>
      </c>
      <c r="B61" s="85" t="s">
        <v>1004</v>
      </c>
      <c r="C61" s="85"/>
      <c r="D61" s="85">
        <v>1</v>
      </c>
      <c r="E61" s="85" t="s">
        <v>895</v>
      </c>
      <c r="F61" s="86">
        <v>42095</v>
      </c>
      <c r="G61" s="86">
        <v>42675</v>
      </c>
      <c r="H61" s="85" t="s">
        <v>1005</v>
      </c>
      <c r="I61" s="92">
        <v>20</v>
      </c>
      <c r="J61" s="85">
        <v>10000</v>
      </c>
      <c r="K61" s="117">
        <v>42475.086557407405</v>
      </c>
      <c r="L61" s="103">
        <v>42475.086557407405</v>
      </c>
    </row>
    <row r="62" spans="1:13" x14ac:dyDescent="0.2">
      <c r="A62" s="127" t="s">
        <v>1007</v>
      </c>
      <c r="B62" s="128"/>
      <c r="C62" s="128"/>
      <c r="D62" s="43"/>
      <c r="E62" s="43"/>
      <c r="F62" s="43"/>
      <c r="G62" s="43"/>
      <c r="H62" s="43"/>
      <c r="I62" s="43"/>
      <c r="J62" s="43"/>
      <c r="K62" s="43"/>
      <c r="L62" s="43"/>
      <c r="M62" s="89"/>
    </row>
    <row r="63" spans="1:13" x14ac:dyDescent="0.2">
      <c r="A63" s="80" t="s">
        <v>1</v>
      </c>
      <c r="B63" s="102" t="s">
        <v>932</v>
      </c>
      <c r="C63" s="101" t="s">
        <v>220</v>
      </c>
      <c r="D63" s="81" t="s">
        <v>933</v>
      </c>
      <c r="E63" s="81" t="s">
        <v>1140</v>
      </c>
      <c r="F63" s="81" t="s">
        <v>944</v>
      </c>
      <c r="G63" s="81" t="s">
        <v>1459</v>
      </c>
      <c r="H63" s="106" t="s">
        <v>1464</v>
      </c>
      <c r="I63" s="81" t="s">
        <v>946</v>
      </c>
      <c r="J63" s="81" t="s">
        <v>931</v>
      </c>
      <c r="K63" s="102" t="s">
        <v>1460</v>
      </c>
      <c r="L63" s="81" t="s">
        <v>967</v>
      </c>
      <c r="M63" s="82" t="s">
        <v>162</v>
      </c>
    </row>
    <row r="64" spans="1:13" ht="13.5" thickBot="1" x14ac:dyDescent="0.25">
      <c r="A64" s="83">
        <v>1</v>
      </c>
      <c r="B64" s="43">
        <v>1</v>
      </c>
      <c r="C64" s="43"/>
      <c r="D64" s="90">
        <v>42095</v>
      </c>
      <c r="E64" s="90">
        <v>42466</v>
      </c>
      <c r="F64" s="43">
        <v>10000</v>
      </c>
      <c r="G64" s="43">
        <v>0</v>
      </c>
      <c r="H64" s="43" t="s">
        <v>882</v>
      </c>
      <c r="I64" s="43">
        <v>10000</v>
      </c>
      <c r="J64" s="86">
        <v>42134</v>
      </c>
      <c r="K64" s="92">
        <v>3</v>
      </c>
      <c r="L64" s="85"/>
      <c r="M64" s="87"/>
    </row>
    <row r="65" spans="1:13" x14ac:dyDescent="0.2">
      <c r="A65" s="123" t="s">
        <v>1008</v>
      </c>
      <c r="B65" s="124"/>
      <c r="C65" s="124"/>
      <c r="D65" s="88"/>
      <c r="E65" s="88"/>
      <c r="F65" s="88"/>
      <c r="G65" s="88"/>
      <c r="H65" s="88"/>
      <c r="I65" s="89"/>
      <c r="J65" s="43"/>
      <c r="K65" s="43"/>
    </row>
    <row r="66" spans="1:13" x14ac:dyDescent="0.2">
      <c r="A66" s="80" t="s">
        <v>1</v>
      </c>
      <c r="B66" s="102" t="s">
        <v>932</v>
      </c>
      <c r="C66" s="101" t="s">
        <v>220</v>
      </c>
      <c r="D66" s="81" t="s">
        <v>229</v>
      </c>
      <c r="E66" s="81" t="s">
        <v>956</v>
      </c>
      <c r="F66" s="81" t="s">
        <v>957</v>
      </c>
      <c r="G66" s="102" t="s">
        <v>1460</v>
      </c>
      <c r="H66" s="81" t="s">
        <v>967</v>
      </c>
      <c r="I66" s="82" t="s">
        <v>162</v>
      </c>
      <c r="J66" s="97"/>
      <c r="K66" s="97"/>
    </row>
    <row r="67" spans="1:13" ht="13.5" thickBot="1" x14ac:dyDescent="0.25">
      <c r="A67" s="84">
        <v>1</v>
      </c>
      <c r="B67" s="85">
        <v>1</v>
      </c>
      <c r="C67" s="85"/>
      <c r="D67" s="86">
        <v>42125</v>
      </c>
      <c r="E67" s="86">
        <v>42134</v>
      </c>
      <c r="F67" s="85">
        <v>100000</v>
      </c>
      <c r="G67" s="92"/>
      <c r="H67" s="85"/>
      <c r="I67" s="103">
        <v>42475.086557407405</v>
      </c>
      <c r="J67" s="43"/>
      <c r="K67" s="43"/>
    </row>
    <row r="68" spans="1:13" s="100" customFormat="1" x14ac:dyDescent="0.2">
      <c r="A68" s="43"/>
      <c r="B68" s="43"/>
      <c r="C68" s="43"/>
      <c r="D68" s="90"/>
      <c r="E68" s="90"/>
      <c r="F68" s="43"/>
      <c r="G68" s="97"/>
      <c r="H68" s="43"/>
      <c r="I68" s="91"/>
      <c r="J68" s="43"/>
      <c r="K68" s="43"/>
    </row>
    <row r="69" spans="1:13" s="100" customFormat="1" x14ac:dyDescent="0.2">
      <c r="A69" s="43"/>
      <c r="B69" s="43"/>
      <c r="C69" s="43"/>
      <c r="D69" s="90"/>
      <c r="E69" s="90"/>
      <c r="F69" s="43"/>
      <c r="G69" s="97"/>
      <c r="H69" s="43"/>
      <c r="I69" s="91"/>
      <c r="J69" s="43"/>
      <c r="K69" s="43"/>
    </row>
    <row r="70" spans="1:13" ht="13.5" thickBot="1" x14ac:dyDescent="0.25"/>
    <row r="71" spans="1:13" s="100" customFormat="1" x14ac:dyDescent="0.2">
      <c r="A71" s="123" t="s">
        <v>1481</v>
      </c>
      <c r="B71" s="124"/>
      <c r="C71" s="124"/>
      <c r="D71" s="88"/>
      <c r="E71" s="89"/>
      <c r="G71" s="136" t="s">
        <v>1469</v>
      </c>
      <c r="H71" s="130"/>
      <c r="I71" s="131"/>
      <c r="K71" s="129" t="s">
        <v>1470</v>
      </c>
      <c r="L71" s="130"/>
      <c r="M71" s="131"/>
    </row>
    <row r="72" spans="1:13" s="100" customFormat="1" x14ac:dyDescent="0.2">
      <c r="A72" s="80" t="s">
        <v>1</v>
      </c>
      <c r="B72" s="101" t="s">
        <v>220</v>
      </c>
      <c r="C72" s="81" t="s">
        <v>211</v>
      </c>
      <c r="D72" s="102" t="s">
        <v>1461</v>
      </c>
      <c r="E72" s="116" t="s">
        <v>1418</v>
      </c>
      <c r="G72" s="80" t="s">
        <v>1</v>
      </c>
      <c r="H72" s="81" t="s">
        <v>211</v>
      </c>
      <c r="I72" s="82" t="s">
        <v>212</v>
      </c>
      <c r="K72" s="80" t="s">
        <v>1</v>
      </c>
      <c r="L72" s="81" t="s">
        <v>211</v>
      </c>
      <c r="M72" s="82" t="s">
        <v>212</v>
      </c>
    </row>
    <row r="73" spans="1:13" s="100" customFormat="1" x14ac:dyDescent="0.2">
      <c r="A73" s="83">
        <v>1</v>
      </c>
      <c r="B73" s="43"/>
      <c r="C73" s="43" t="s">
        <v>1475</v>
      </c>
      <c r="D73" s="43">
        <v>6</v>
      </c>
      <c r="E73" s="79"/>
      <c r="G73" s="83">
        <v>1</v>
      </c>
      <c r="H73" s="43" t="s">
        <v>33</v>
      </c>
      <c r="I73" s="79" t="s">
        <v>895</v>
      </c>
      <c r="K73" s="83">
        <v>1</v>
      </c>
      <c r="L73" s="43" t="s">
        <v>1041</v>
      </c>
      <c r="M73" s="79" t="s">
        <v>882</v>
      </c>
    </row>
    <row r="74" spans="1:13" s="100" customFormat="1" x14ac:dyDescent="0.2">
      <c r="A74" s="83">
        <v>2</v>
      </c>
      <c r="B74" s="43"/>
      <c r="C74" s="43" t="s">
        <v>1476</v>
      </c>
      <c r="D74" s="43">
        <v>5</v>
      </c>
      <c r="E74" s="79"/>
      <c r="G74" s="83">
        <v>2</v>
      </c>
      <c r="H74" s="43" t="s">
        <v>1041</v>
      </c>
      <c r="I74" s="79" t="s">
        <v>882</v>
      </c>
      <c r="K74" s="83">
        <v>2</v>
      </c>
      <c r="L74" s="43" t="s">
        <v>1045</v>
      </c>
      <c r="M74" s="79" t="s">
        <v>1046</v>
      </c>
    </row>
    <row r="75" spans="1:13" s="100" customFormat="1" ht="13.5" thickBot="1" x14ac:dyDescent="0.25">
      <c r="A75" s="83">
        <v>3</v>
      </c>
      <c r="B75" s="43"/>
      <c r="C75" s="43" t="s">
        <v>1477</v>
      </c>
      <c r="D75" s="43">
        <v>3</v>
      </c>
      <c r="E75" s="79"/>
      <c r="G75" s="83">
        <v>3</v>
      </c>
      <c r="H75" s="43" t="s">
        <v>36</v>
      </c>
      <c r="I75" s="79" t="s">
        <v>1043</v>
      </c>
      <c r="K75" s="83"/>
      <c r="L75" s="43"/>
      <c r="M75" s="87"/>
    </row>
    <row r="76" spans="1:13" s="100" customFormat="1" ht="15" x14ac:dyDescent="0.2">
      <c r="A76" s="139" t="s">
        <v>1478</v>
      </c>
      <c r="B76" s="140"/>
      <c r="C76" s="140"/>
      <c r="D76" s="88"/>
      <c r="E76" s="88"/>
      <c r="F76" s="88"/>
      <c r="G76" s="88"/>
      <c r="H76" s="88"/>
      <c r="I76" s="88"/>
      <c r="J76" s="88"/>
      <c r="K76" s="88"/>
      <c r="L76" s="89"/>
    </row>
    <row r="77" spans="1:13" s="100" customFormat="1" x14ac:dyDescent="0.2">
      <c r="A77" s="80" t="s">
        <v>1</v>
      </c>
      <c r="B77" s="81" t="s">
        <v>211</v>
      </c>
      <c r="C77" s="101" t="s">
        <v>220</v>
      </c>
      <c r="D77" s="102" t="s">
        <v>1482</v>
      </c>
      <c r="E77" s="106" t="s">
        <v>1587</v>
      </c>
      <c r="F77" s="81" t="s">
        <v>1396</v>
      </c>
      <c r="G77" s="81" t="s">
        <v>928</v>
      </c>
      <c r="H77" s="106" t="s">
        <v>1419</v>
      </c>
      <c r="I77" s="81" t="s">
        <v>1458</v>
      </c>
      <c r="J77" s="81" t="s">
        <v>950</v>
      </c>
      <c r="K77" s="81" t="s">
        <v>3</v>
      </c>
      <c r="L77" s="82" t="s">
        <v>162</v>
      </c>
    </row>
    <row r="78" spans="1:13" s="100" customFormat="1" ht="13.5" thickBot="1" x14ac:dyDescent="0.25">
      <c r="A78" s="84">
        <v>1</v>
      </c>
      <c r="B78" s="85" t="s">
        <v>1004</v>
      </c>
      <c r="C78" s="85"/>
      <c r="D78" s="85">
        <v>1</v>
      </c>
      <c r="E78" s="85" t="s">
        <v>895</v>
      </c>
      <c r="F78" s="86">
        <v>42095</v>
      </c>
      <c r="G78" s="86">
        <v>42675</v>
      </c>
      <c r="H78" s="85" t="s">
        <v>1005</v>
      </c>
      <c r="I78" s="92">
        <v>20</v>
      </c>
      <c r="J78" s="85">
        <v>10000</v>
      </c>
      <c r="K78" s="117">
        <v>42475.086557407405</v>
      </c>
      <c r="L78" s="103">
        <v>42475.086557407405</v>
      </c>
    </row>
    <row r="79" spans="1:13" s="100" customFormat="1" x14ac:dyDescent="0.2">
      <c r="A79" s="127" t="s">
        <v>1471</v>
      </c>
      <c r="B79" s="128"/>
      <c r="C79" s="128"/>
      <c r="D79" s="43"/>
      <c r="E79" s="43"/>
      <c r="F79" s="43"/>
      <c r="G79" s="43"/>
      <c r="H79" s="43"/>
      <c r="I79" s="43"/>
      <c r="J79" s="43"/>
      <c r="K79" s="43"/>
      <c r="L79" s="43"/>
      <c r="M79" s="89"/>
    </row>
    <row r="80" spans="1:13" s="100" customFormat="1" x14ac:dyDescent="0.2">
      <c r="A80" s="80" t="s">
        <v>1</v>
      </c>
      <c r="B80" s="102" t="s">
        <v>1472</v>
      </c>
      <c r="C80" s="101" t="s">
        <v>220</v>
      </c>
      <c r="D80" s="81" t="s">
        <v>933</v>
      </c>
      <c r="E80" s="81" t="s">
        <v>1140</v>
      </c>
      <c r="F80" s="81" t="s">
        <v>944</v>
      </c>
      <c r="G80" s="81" t="s">
        <v>1459</v>
      </c>
      <c r="H80" s="106" t="s">
        <v>1473</v>
      </c>
      <c r="I80" s="81" t="s">
        <v>946</v>
      </c>
      <c r="J80" s="81" t="s">
        <v>931</v>
      </c>
      <c r="K80" s="102" t="s">
        <v>1460</v>
      </c>
      <c r="L80" s="81" t="s">
        <v>967</v>
      </c>
      <c r="M80" s="82" t="s">
        <v>162</v>
      </c>
    </row>
    <row r="81" spans="1:14" s="100" customFormat="1" ht="13.5" thickBot="1" x14ac:dyDescent="0.25">
      <c r="A81" s="83">
        <v>1</v>
      </c>
      <c r="B81" s="43">
        <v>1</v>
      </c>
      <c r="C81" s="43"/>
      <c r="D81" s="90">
        <v>42095</v>
      </c>
      <c r="E81" s="90">
        <v>42466</v>
      </c>
      <c r="F81" s="43">
        <v>10000</v>
      </c>
      <c r="G81" s="43">
        <v>0</v>
      </c>
      <c r="H81" s="43" t="s">
        <v>882</v>
      </c>
      <c r="I81" s="43">
        <v>10000</v>
      </c>
      <c r="J81" s="86">
        <v>42134</v>
      </c>
      <c r="K81" s="92">
        <v>3</v>
      </c>
      <c r="L81" s="85"/>
      <c r="M81" s="87"/>
    </row>
    <row r="82" spans="1:14" s="100" customFormat="1" x14ac:dyDescent="0.2">
      <c r="A82" s="123" t="s">
        <v>1474</v>
      </c>
      <c r="B82" s="124"/>
      <c r="C82" s="124"/>
      <c r="D82" s="88"/>
      <c r="E82" s="88"/>
      <c r="F82" s="88"/>
      <c r="G82" s="88"/>
      <c r="H82" s="88"/>
      <c r="I82" s="89"/>
      <c r="J82" s="43"/>
      <c r="K82" s="43"/>
    </row>
    <row r="83" spans="1:14" s="100" customFormat="1" x14ac:dyDescent="0.2">
      <c r="A83" s="80" t="s">
        <v>1</v>
      </c>
      <c r="B83" s="102" t="s">
        <v>1472</v>
      </c>
      <c r="C83" s="101" t="s">
        <v>220</v>
      </c>
      <c r="D83" s="81" t="s">
        <v>229</v>
      </c>
      <c r="E83" s="81" t="s">
        <v>956</v>
      </c>
      <c r="F83" s="81" t="s">
        <v>957</v>
      </c>
      <c r="G83" s="102" t="s">
        <v>1460</v>
      </c>
      <c r="H83" s="81" t="s">
        <v>967</v>
      </c>
      <c r="I83" s="82" t="s">
        <v>162</v>
      </c>
      <c r="J83" s="97"/>
      <c r="K83" s="97"/>
    </row>
    <row r="84" spans="1:14" s="100" customFormat="1" ht="13.5" thickBot="1" x14ac:dyDescent="0.25">
      <c r="A84" s="84">
        <v>1</v>
      </c>
      <c r="B84" s="85">
        <v>1</v>
      </c>
      <c r="C84" s="85"/>
      <c r="D84" s="86">
        <v>42125</v>
      </c>
      <c r="E84" s="86">
        <v>42134</v>
      </c>
      <c r="F84" s="85">
        <v>100000</v>
      </c>
      <c r="G84" s="92"/>
      <c r="H84" s="85"/>
      <c r="I84" s="103">
        <v>42475.086557407405</v>
      </c>
      <c r="J84" s="43"/>
      <c r="K84" s="43"/>
    </row>
    <row r="86" spans="1:14" s="100" customFormat="1" x14ac:dyDescent="0.2"/>
    <row r="87" spans="1:14" ht="13.5" thickBot="1" x14ac:dyDescent="0.25"/>
    <row r="88" spans="1:14" x14ac:dyDescent="0.2">
      <c r="A88" s="134" t="s">
        <v>1483</v>
      </c>
      <c r="B88" s="135"/>
      <c r="C88" s="135"/>
      <c r="D88" s="88"/>
      <c r="E88" s="88"/>
      <c r="F88" s="89"/>
      <c r="H88" s="129" t="s">
        <v>1152</v>
      </c>
      <c r="I88" s="130"/>
      <c r="J88" s="131"/>
      <c r="L88" s="129" t="s">
        <v>1463</v>
      </c>
      <c r="M88" s="130"/>
      <c r="N88" s="131"/>
    </row>
    <row r="89" spans="1:14" x14ac:dyDescent="0.2">
      <c r="A89" s="80" t="s">
        <v>1</v>
      </c>
      <c r="B89" s="101" t="s">
        <v>220</v>
      </c>
      <c r="C89" s="81" t="s">
        <v>211</v>
      </c>
      <c r="D89" s="81" t="s">
        <v>964</v>
      </c>
      <c r="E89" s="106" t="s">
        <v>1418</v>
      </c>
      <c r="F89" s="116" t="s">
        <v>1597</v>
      </c>
      <c r="H89" s="80" t="s">
        <v>1</v>
      </c>
      <c r="I89" s="81" t="s">
        <v>211</v>
      </c>
      <c r="J89" s="82" t="s">
        <v>212</v>
      </c>
      <c r="L89" s="80" t="s">
        <v>1</v>
      </c>
      <c r="M89" s="81" t="s">
        <v>211</v>
      </c>
      <c r="N89" s="82" t="s">
        <v>212</v>
      </c>
    </row>
    <row r="90" spans="1:14" x14ac:dyDescent="0.2">
      <c r="A90" s="83">
        <v>1</v>
      </c>
      <c r="B90" s="43"/>
      <c r="C90" s="43" t="s">
        <v>1142</v>
      </c>
      <c r="D90" s="43" t="s">
        <v>1143</v>
      </c>
      <c r="E90" s="43"/>
      <c r="F90" s="79"/>
      <c r="H90" s="83">
        <v>1</v>
      </c>
      <c r="I90" s="43" t="s">
        <v>33</v>
      </c>
      <c r="J90" s="79" t="s">
        <v>895</v>
      </c>
      <c r="L90" s="83">
        <v>1</v>
      </c>
      <c r="M90" s="43" t="s">
        <v>1041</v>
      </c>
      <c r="N90" s="79" t="s">
        <v>882</v>
      </c>
    </row>
    <row r="91" spans="1:14" x14ac:dyDescent="0.2">
      <c r="A91" s="83"/>
      <c r="B91" s="43"/>
      <c r="C91" s="111" t="s">
        <v>1595</v>
      </c>
      <c r="D91" s="43"/>
      <c r="E91" s="43"/>
      <c r="F91" s="79"/>
      <c r="H91" s="83">
        <v>2</v>
      </c>
      <c r="I91" s="43" t="s">
        <v>1042</v>
      </c>
      <c r="J91" s="79" t="s">
        <v>1146</v>
      </c>
      <c r="L91" s="83">
        <v>2</v>
      </c>
      <c r="M91" s="43" t="s">
        <v>1045</v>
      </c>
      <c r="N91" s="79" t="s">
        <v>1046</v>
      </c>
    </row>
    <row r="92" spans="1:14" ht="13.5" thickBot="1" x14ac:dyDescent="0.25">
      <c r="A92" s="84"/>
      <c r="B92" s="85"/>
      <c r="C92" s="85"/>
      <c r="D92" s="85"/>
      <c r="E92" s="85"/>
      <c r="F92" s="87"/>
      <c r="H92" s="83">
        <v>3</v>
      </c>
      <c r="I92" s="43" t="s">
        <v>1147</v>
      </c>
      <c r="J92" s="79" t="s">
        <v>1148</v>
      </c>
      <c r="L92" s="83"/>
      <c r="M92" s="43"/>
      <c r="N92" s="79"/>
    </row>
    <row r="93" spans="1:14" ht="15" x14ac:dyDescent="0.2">
      <c r="A93" s="132" t="s">
        <v>773</v>
      </c>
      <c r="B93" s="133"/>
      <c r="C93" s="133"/>
      <c r="D93" s="43"/>
      <c r="E93" s="43"/>
      <c r="F93" s="43"/>
      <c r="G93" s="88"/>
      <c r="H93" s="88"/>
      <c r="I93" s="88"/>
      <c r="J93" s="88"/>
      <c r="K93" s="88"/>
      <c r="L93" s="88"/>
      <c r="M93" s="89"/>
    </row>
    <row r="94" spans="1:14" x14ac:dyDescent="0.2">
      <c r="A94" s="80" t="s">
        <v>1</v>
      </c>
      <c r="B94" s="81" t="s">
        <v>211</v>
      </c>
      <c r="C94" s="101" t="s">
        <v>220</v>
      </c>
      <c r="D94" s="102" t="s">
        <v>1484</v>
      </c>
      <c r="E94" s="102" t="s">
        <v>1432</v>
      </c>
      <c r="F94" s="81" t="s">
        <v>870</v>
      </c>
      <c r="G94" s="102" t="s">
        <v>1419</v>
      </c>
      <c r="H94" s="81" t="s">
        <v>1157</v>
      </c>
      <c r="I94" s="81" t="s">
        <v>1158</v>
      </c>
      <c r="J94" s="81" t="s">
        <v>1159</v>
      </c>
      <c r="K94" s="81" t="s">
        <v>1160</v>
      </c>
      <c r="L94" s="81" t="s">
        <v>3</v>
      </c>
      <c r="M94" s="82" t="s">
        <v>162</v>
      </c>
    </row>
    <row r="95" spans="1:14" ht="13.5" thickBot="1" x14ac:dyDescent="0.25">
      <c r="A95" s="83">
        <v>1</v>
      </c>
      <c r="B95" s="43" t="s">
        <v>1145</v>
      </c>
      <c r="C95" s="43"/>
      <c r="D95" s="43">
        <v>1</v>
      </c>
      <c r="E95" s="43" t="s">
        <v>895</v>
      </c>
      <c r="F95" s="90">
        <v>42005</v>
      </c>
      <c r="G95" s="43" t="s">
        <v>1005</v>
      </c>
      <c r="H95" s="43">
        <v>11</v>
      </c>
      <c r="I95" s="97">
        <v>10</v>
      </c>
      <c r="J95" s="97">
        <v>12</v>
      </c>
      <c r="K95" s="97">
        <v>28</v>
      </c>
      <c r="L95" s="91">
        <v>42475.086557407405</v>
      </c>
      <c r="M95" s="104">
        <v>42475.086557407405</v>
      </c>
    </row>
    <row r="96" spans="1:14" s="88" customFormat="1" x14ac:dyDescent="0.2">
      <c r="A96" s="123" t="s">
        <v>1149</v>
      </c>
      <c r="B96" s="124"/>
      <c r="C96" s="124"/>
    </row>
    <row r="97" spans="1:15" s="43" customFormat="1" x14ac:dyDescent="0.2">
      <c r="A97" s="80" t="s">
        <v>1</v>
      </c>
      <c r="B97" s="102" t="s">
        <v>1150</v>
      </c>
      <c r="C97" s="101" t="s">
        <v>220</v>
      </c>
      <c r="D97" s="81" t="s">
        <v>1156</v>
      </c>
      <c r="E97" s="81" t="s">
        <v>1154</v>
      </c>
      <c r="F97" s="81" t="s">
        <v>1155</v>
      </c>
      <c r="G97" s="81" t="s">
        <v>1140</v>
      </c>
      <c r="H97" s="81" t="s">
        <v>944</v>
      </c>
      <c r="I97" s="107" t="s">
        <v>1459</v>
      </c>
      <c r="J97" s="106" t="s">
        <v>1465</v>
      </c>
      <c r="K97" s="81" t="s">
        <v>946</v>
      </c>
      <c r="L97" s="81" t="s">
        <v>931</v>
      </c>
      <c r="M97" s="102" t="s">
        <v>1460</v>
      </c>
      <c r="N97" s="107" t="s">
        <v>967</v>
      </c>
      <c r="O97" s="81" t="s">
        <v>162</v>
      </c>
    </row>
    <row r="98" spans="1:15" s="43" customFormat="1" x14ac:dyDescent="0.2">
      <c r="A98" s="83">
        <v>1</v>
      </c>
      <c r="B98" s="43">
        <v>1</v>
      </c>
      <c r="D98" s="90">
        <v>42412</v>
      </c>
      <c r="E98" s="90">
        <v>42380</v>
      </c>
      <c r="F98" s="90">
        <v>42410</v>
      </c>
      <c r="G98" s="90">
        <v>42428</v>
      </c>
      <c r="H98" s="43">
        <v>862.7</v>
      </c>
      <c r="I98" s="43">
        <v>0</v>
      </c>
      <c r="J98" s="43" t="s">
        <v>882</v>
      </c>
      <c r="K98" s="43">
        <v>862.7</v>
      </c>
      <c r="L98" s="90">
        <v>42134</v>
      </c>
      <c r="M98" s="97"/>
    </row>
    <row r="99" spans="1:15" s="85" customFormat="1" ht="13.5" thickBot="1" x14ac:dyDescent="0.25">
      <c r="A99" s="84">
        <v>2</v>
      </c>
      <c r="B99" s="85">
        <v>1</v>
      </c>
      <c r="D99" s="86">
        <v>42441</v>
      </c>
      <c r="E99" s="86">
        <v>42411</v>
      </c>
      <c r="F99" s="86">
        <v>42439</v>
      </c>
      <c r="G99" s="86">
        <v>42457</v>
      </c>
      <c r="I99" s="85">
        <v>0</v>
      </c>
      <c r="J99" s="85" t="s">
        <v>1046</v>
      </c>
      <c r="L99" s="86"/>
    </row>
    <row r="101" spans="1:15" s="99" customFormat="1" x14ac:dyDescent="0.2"/>
    <row r="110" spans="1:15" ht="13.5" thickBot="1" x14ac:dyDescent="0.25"/>
    <row r="111" spans="1:15" ht="15" x14ac:dyDescent="0.2">
      <c r="A111" s="125" t="s">
        <v>1327</v>
      </c>
      <c r="B111" s="126"/>
      <c r="C111" s="126"/>
      <c r="D111" s="88"/>
      <c r="E111" s="88"/>
      <c r="F111" s="88"/>
      <c r="G111" s="89"/>
    </row>
    <row r="112" spans="1:15" x14ac:dyDescent="0.2">
      <c r="A112" s="80" t="s">
        <v>1</v>
      </c>
      <c r="B112" s="81" t="s">
        <v>211</v>
      </c>
      <c r="C112" s="101" t="s">
        <v>220</v>
      </c>
      <c r="D112" s="106" t="s">
        <v>1418</v>
      </c>
      <c r="E112" s="81" t="s">
        <v>967</v>
      </c>
      <c r="F112" s="81" t="s">
        <v>870</v>
      </c>
      <c r="G112" s="82" t="s">
        <v>3</v>
      </c>
    </row>
    <row r="113" spans="1:13" ht="13.5" thickBot="1" x14ac:dyDescent="0.25">
      <c r="A113" s="84">
        <v>1</v>
      </c>
      <c r="B113" s="85" t="s">
        <v>1335</v>
      </c>
      <c r="C113" s="85"/>
      <c r="D113" s="85"/>
      <c r="E113" s="85" t="s">
        <v>1336</v>
      </c>
      <c r="F113" s="86">
        <v>42434</v>
      </c>
      <c r="G113" s="87"/>
    </row>
    <row r="114" spans="1:13" s="100" customFormat="1" x14ac:dyDescent="0.2">
      <c r="A114" s="127" t="s">
        <v>1330</v>
      </c>
      <c r="B114" s="128"/>
      <c r="C114" s="128"/>
      <c r="D114" s="43"/>
      <c r="E114" s="43"/>
      <c r="F114" s="43"/>
      <c r="G114" s="43"/>
      <c r="H114" s="88"/>
      <c r="I114" s="89"/>
      <c r="J114" s="43"/>
      <c r="K114" s="43"/>
      <c r="L114" s="43"/>
      <c r="M114" s="43"/>
    </row>
    <row r="115" spans="1:13" s="100" customFormat="1" x14ac:dyDescent="0.2">
      <c r="A115" s="80" t="s">
        <v>1</v>
      </c>
      <c r="B115" s="102" t="s">
        <v>1329</v>
      </c>
      <c r="C115" s="101" t="s">
        <v>220</v>
      </c>
      <c r="D115" s="107" t="s">
        <v>957</v>
      </c>
      <c r="E115" s="81" t="s">
        <v>870</v>
      </c>
      <c r="F115" s="81" t="s">
        <v>1389</v>
      </c>
      <c r="G115" s="81" t="s">
        <v>973</v>
      </c>
      <c r="H115" s="81" t="s">
        <v>3</v>
      </c>
      <c r="I115" s="82" t="s">
        <v>162</v>
      </c>
      <c r="J115" s="43"/>
      <c r="K115" s="43"/>
      <c r="L115" s="43"/>
      <c r="M115" s="43"/>
    </row>
    <row r="116" spans="1:13" s="100" customFormat="1" ht="13.5" thickBot="1" x14ac:dyDescent="0.25">
      <c r="A116" s="83">
        <v>1</v>
      </c>
      <c r="B116" s="43">
        <v>1</v>
      </c>
      <c r="C116" s="43"/>
      <c r="D116" s="43">
        <v>350</v>
      </c>
      <c r="E116" s="90">
        <v>42434</v>
      </c>
      <c r="F116" s="97" t="s">
        <v>1342</v>
      </c>
      <c r="G116" s="43"/>
      <c r="H116" s="85"/>
      <c r="I116" s="79"/>
      <c r="J116" s="43"/>
      <c r="K116" s="43"/>
      <c r="L116" s="43"/>
      <c r="M116" s="43"/>
    </row>
    <row r="117" spans="1:13" s="100" customFormat="1" x14ac:dyDescent="0.2">
      <c r="A117" s="123" t="s">
        <v>1333</v>
      </c>
      <c r="B117" s="124"/>
      <c r="C117" s="124"/>
      <c r="D117" s="88"/>
      <c r="E117" s="88"/>
      <c r="F117" s="88"/>
      <c r="G117" s="89"/>
      <c r="I117" s="123" t="s">
        <v>1328</v>
      </c>
      <c r="J117" s="124"/>
      <c r="K117" s="124"/>
      <c r="L117" s="88"/>
      <c r="M117" s="89"/>
    </row>
    <row r="118" spans="1:13" x14ac:dyDescent="0.2">
      <c r="A118" s="80" t="s">
        <v>1</v>
      </c>
      <c r="B118" s="101" t="s">
        <v>220</v>
      </c>
      <c r="C118" s="102" t="s">
        <v>1344</v>
      </c>
      <c r="D118" s="102" t="s">
        <v>1388</v>
      </c>
      <c r="E118" s="107" t="s">
        <v>957</v>
      </c>
      <c r="F118" s="102" t="s">
        <v>1430</v>
      </c>
      <c r="G118" s="82" t="s">
        <v>967</v>
      </c>
      <c r="I118" s="80" t="s">
        <v>1</v>
      </c>
      <c r="J118" s="101" t="s">
        <v>220</v>
      </c>
      <c r="K118" s="102" t="s">
        <v>1329</v>
      </c>
      <c r="L118" s="81" t="s">
        <v>211</v>
      </c>
      <c r="M118" s="102" t="s">
        <v>1387</v>
      </c>
    </row>
    <row r="119" spans="1:13" x14ac:dyDescent="0.2">
      <c r="A119" s="83">
        <v>1</v>
      </c>
      <c r="B119" s="43"/>
      <c r="C119" s="97">
        <v>1</v>
      </c>
      <c r="D119" s="97">
        <v>4</v>
      </c>
      <c r="E119" s="97">
        <v>350</v>
      </c>
      <c r="F119" s="97" t="s">
        <v>1016</v>
      </c>
      <c r="G119" s="79"/>
      <c r="I119" s="83">
        <v>1</v>
      </c>
      <c r="J119" s="43"/>
      <c r="K119" s="43">
        <v>1</v>
      </c>
      <c r="L119" s="43" t="s">
        <v>1337</v>
      </c>
      <c r="M119" s="79">
        <v>2</v>
      </c>
    </row>
    <row r="120" spans="1:13" x14ac:dyDescent="0.2">
      <c r="A120" s="83">
        <v>2</v>
      </c>
      <c r="B120" s="43"/>
      <c r="C120" s="97">
        <v>1</v>
      </c>
      <c r="D120" s="43">
        <v>1</v>
      </c>
      <c r="E120" s="97">
        <v>58.33</v>
      </c>
      <c r="F120" s="97" t="s">
        <v>1039</v>
      </c>
      <c r="G120" s="79"/>
      <c r="I120" s="83">
        <v>2</v>
      </c>
      <c r="J120" s="43"/>
      <c r="K120" s="43">
        <v>1</v>
      </c>
      <c r="L120" s="43" t="s">
        <v>1338</v>
      </c>
      <c r="M120" s="79">
        <v>3</v>
      </c>
    </row>
    <row r="121" spans="1:13" x14ac:dyDescent="0.2">
      <c r="A121" s="83">
        <v>3</v>
      </c>
      <c r="B121" s="43"/>
      <c r="C121" s="97">
        <v>1</v>
      </c>
      <c r="D121" s="43">
        <v>2</v>
      </c>
      <c r="E121" s="97">
        <v>58.33</v>
      </c>
      <c r="F121" s="97" t="s">
        <v>1039</v>
      </c>
      <c r="G121" s="79"/>
      <c r="I121" s="83">
        <v>3</v>
      </c>
      <c r="J121" s="43"/>
      <c r="K121" s="43">
        <v>1</v>
      </c>
      <c r="L121" s="43" t="s">
        <v>1339</v>
      </c>
      <c r="M121" s="109">
        <v>4</v>
      </c>
    </row>
    <row r="122" spans="1:13" x14ac:dyDescent="0.2">
      <c r="A122" s="83">
        <v>4</v>
      </c>
      <c r="B122" s="43"/>
      <c r="C122" s="97">
        <v>1</v>
      </c>
      <c r="D122" s="97">
        <v>3</v>
      </c>
      <c r="E122" s="97">
        <v>58.33</v>
      </c>
      <c r="F122" s="97" t="s">
        <v>1039</v>
      </c>
      <c r="G122" s="79"/>
      <c r="I122" s="83">
        <v>4</v>
      </c>
      <c r="J122" s="43"/>
      <c r="K122" s="43">
        <v>1</v>
      </c>
      <c r="L122" s="43" t="s">
        <v>1340</v>
      </c>
      <c r="M122" s="109">
        <v>5</v>
      </c>
    </row>
    <row r="123" spans="1:13" x14ac:dyDescent="0.2">
      <c r="A123" s="83">
        <v>5</v>
      </c>
      <c r="B123" s="43"/>
      <c r="C123" s="97">
        <v>1</v>
      </c>
      <c r="D123" s="97">
        <v>4</v>
      </c>
      <c r="E123" s="97">
        <v>58.33</v>
      </c>
      <c r="F123" s="97" t="s">
        <v>1039</v>
      </c>
      <c r="G123" s="79"/>
      <c r="I123" s="83">
        <v>5</v>
      </c>
      <c r="J123" s="43"/>
      <c r="K123" s="43">
        <v>1</v>
      </c>
      <c r="L123" s="43" t="s">
        <v>1341</v>
      </c>
      <c r="M123" s="109">
        <v>6</v>
      </c>
    </row>
    <row r="124" spans="1:13" ht="13.5" thickBot="1" x14ac:dyDescent="0.25">
      <c r="A124" s="83">
        <v>6</v>
      </c>
      <c r="B124" s="43"/>
      <c r="C124" s="97">
        <v>1</v>
      </c>
      <c r="D124" s="97">
        <v>5</v>
      </c>
      <c r="E124" s="97">
        <v>58.33</v>
      </c>
      <c r="F124" s="97" t="s">
        <v>1039</v>
      </c>
      <c r="G124" s="79"/>
      <c r="I124" s="84">
        <v>6</v>
      </c>
      <c r="J124" s="85"/>
      <c r="K124" s="85">
        <v>1</v>
      </c>
      <c r="L124" s="85" t="s">
        <v>113</v>
      </c>
      <c r="M124" s="110">
        <v>7</v>
      </c>
    </row>
    <row r="125" spans="1:13" ht="13.5" thickBot="1" x14ac:dyDescent="0.25">
      <c r="A125" s="84">
        <v>7</v>
      </c>
      <c r="B125" s="85"/>
      <c r="C125" s="85">
        <v>1</v>
      </c>
      <c r="D125" s="85">
        <v>6</v>
      </c>
      <c r="E125" s="85">
        <v>58.33</v>
      </c>
      <c r="F125" s="85" t="s">
        <v>1039</v>
      </c>
      <c r="G125" s="87"/>
      <c r="I125" s="43"/>
      <c r="J125" s="43"/>
      <c r="K125" s="43"/>
      <c r="L125" s="43"/>
    </row>
    <row r="126" spans="1:13" x14ac:dyDescent="0.2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90"/>
    </row>
    <row r="128" spans="1:13" ht="13.5" thickBot="1" x14ac:dyDescent="0.25"/>
    <row r="129" spans="1:13" ht="15" x14ac:dyDescent="0.2">
      <c r="A129" s="125" t="s">
        <v>1259</v>
      </c>
      <c r="B129" s="126"/>
      <c r="C129" s="126"/>
      <c r="D129" s="88"/>
      <c r="E129" s="88"/>
      <c r="F129" s="89"/>
      <c r="J129" s="43"/>
      <c r="K129" s="113" t="s">
        <v>1486</v>
      </c>
      <c r="L129" s="113"/>
      <c r="M129" s="113"/>
    </row>
    <row r="130" spans="1:13" x14ac:dyDescent="0.2">
      <c r="A130" s="80" t="s">
        <v>1</v>
      </c>
      <c r="B130" s="81" t="s">
        <v>211</v>
      </c>
      <c r="C130" s="101" t="s">
        <v>220</v>
      </c>
      <c r="D130" s="106" t="s">
        <v>1418</v>
      </c>
      <c r="E130" s="81" t="s">
        <v>967</v>
      </c>
      <c r="F130" s="82" t="s">
        <v>3</v>
      </c>
      <c r="J130" s="43"/>
      <c r="K130" s="113" t="s">
        <v>1</v>
      </c>
      <c r="L130" s="113" t="s">
        <v>211</v>
      </c>
      <c r="M130" s="113" t="s">
        <v>212</v>
      </c>
    </row>
    <row r="131" spans="1:13" ht="13.5" thickBot="1" x14ac:dyDescent="0.25">
      <c r="A131" s="84">
        <v>1</v>
      </c>
      <c r="B131" s="85" t="s">
        <v>1252</v>
      </c>
      <c r="C131" s="85"/>
      <c r="D131" s="85"/>
      <c r="E131" s="85" t="s">
        <v>1253</v>
      </c>
      <c r="F131" s="87"/>
      <c r="J131" s="43"/>
      <c r="K131" s="113">
        <v>1</v>
      </c>
      <c r="L131" s="113" t="s">
        <v>1122</v>
      </c>
      <c r="M131" s="113" t="s">
        <v>1123</v>
      </c>
    </row>
    <row r="132" spans="1:13" x14ac:dyDescent="0.2">
      <c r="A132" s="127" t="s">
        <v>1260</v>
      </c>
      <c r="B132" s="128"/>
      <c r="C132" s="128"/>
      <c r="D132" s="43"/>
      <c r="E132" s="79"/>
      <c r="J132" s="43"/>
      <c r="K132" s="113">
        <v>2</v>
      </c>
      <c r="L132" s="113" t="s">
        <v>1124</v>
      </c>
      <c r="M132" s="113" t="s">
        <v>1125</v>
      </c>
    </row>
    <row r="133" spans="1:13" ht="13.5" thickBot="1" x14ac:dyDescent="0.25">
      <c r="A133" s="80" t="s">
        <v>1</v>
      </c>
      <c r="B133" s="101" t="s">
        <v>220</v>
      </c>
      <c r="C133" s="102" t="s">
        <v>1263</v>
      </c>
      <c r="D133" s="81" t="s">
        <v>211</v>
      </c>
      <c r="E133" s="105" t="s">
        <v>1387</v>
      </c>
      <c r="J133" s="43"/>
      <c r="K133" s="113"/>
      <c r="L133" s="113"/>
      <c r="M133" s="113"/>
    </row>
    <row r="134" spans="1:13" x14ac:dyDescent="0.2">
      <c r="A134" s="83">
        <v>1</v>
      </c>
      <c r="B134" s="43"/>
      <c r="C134" s="43">
        <v>1</v>
      </c>
      <c r="D134" s="43" t="s">
        <v>1254</v>
      </c>
      <c r="E134" s="79"/>
      <c r="G134" s="129" t="s">
        <v>1271</v>
      </c>
      <c r="H134" s="130"/>
      <c r="I134" s="131"/>
      <c r="K134" s="100"/>
      <c r="L134" s="100"/>
      <c r="M134" s="100"/>
    </row>
    <row r="135" spans="1:13" x14ac:dyDescent="0.2">
      <c r="A135" s="83">
        <v>2</v>
      </c>
      <c r="B135" s="43"/>
      <c r="C135" s="43">
        <v>1</v>
      </c>
      <c r="D135" s="43" t="s">
        <v>1255</v>
      </c>
      <c r="E135" s="79">
        <v>1</v>
      </c>
      <c r="G135" s="80" t="s">
        <v>1</v>
      </c>
      <c r="H135" s="81" t="s">
        <v>211</v>
      </c>
      <c r="I135" s="82" t="s">
        <v>212</v>
      </c>
      <c r="K135" s="100"/>
      <c r="L135" s="100"/>
      <c r="M135" s="100"/>
    </row>
    <row r="136" spans="1:13" x14ac:dyDescent="0.2">
      <c r="A136" s="83">
        <v>3</v>
      </c>
      <c r="B136" s="43"/>
      <c r="C136" s="43">
        <v>1</v>
      </c>
      <c r="D136" s="43" t="s">
        <v>1256</v>
      </c>
      <c r="E136" s="79"/>
      <c r="G136" s="83">
        <v>1</v>
      </c>
      <c r="H136" s="43" t="s">
        <v>1264</v>
      </c>
      <c r="I136" s="79" t="s">
        <v>1265</v>
      </c>
    </row>
    <row r="137" spans="1:13" x14ac:dyDescent="0.2">
      <c r="A137" s="83">
        <v>4</v>
      </c>
      <c r="B137" s="43"/>
      <c r="C137" s="43">
        <v>1</v>
      </c>
      <c r="D137" s="43" t="s">
        <v>1257</v>
      </c>
      <c r="E137" s="79"/>
      <c r="G137" s="83">
        <v>2</v>
      </c>
      <c r="H137" s="43" t="s">
        <v>1266</v>
      </c>
      <c r="I137" s="79" t="s">
        <v>1267</v>
      </c>
    </row>
    <row r="138" spans="1:13" ht="13.5" thickBot="1" x14ac:dyDescent="0.25">
      <c r="A138" s="84">
        <v>5</v>
      </c>
      <c r="B138" s="85"/>
      <c r="C138" s="85">
        <v>1</v>
      </c>
      <c r="D138" s="85" t="s">
        <v>1258</v>
      </c>
      <c r="E138" s="87"/>
      <c r="F138" s="43"/>
      <c r="G138" s="84">
        <v>3</v>
      </c>
      <c r="H138" s="92" t="s">
        <v>1268</v>
      </c>
      <c r="I138" s="110" t="s">
        <v>1269</v>
      </c>
      <c r="J138" s="43"/>
      <c r="K138" s="43"/>
      <c r="L138" s="43"/>
    </row>
    <row r="139" spans="1:13" x14ac:dyDescent="0.2">
      <c r="A139" s="127" t="s">
        <v>1270</v>
      </c>
      <c r="B139" s="128"/>
      <c r="C139" s="128"/>
      <c r="D139" s="43"/>
      <c r="E139" s="43"/>
      <c r="F139" s="88"/>
      <c r="G139" s="88"/>
      <c r="H139" s="88"/>
      <c r="I139" s="88"/>
      <c r="J139" s="89"/>
      <c r="K139" s="43"/>
      <c r="L139" s="43"/>
    </row>
    <row r="140" spans="1:13" x14ac:dyDescent="0.2">
      <c r="A140" s="80" t="s">
        <v>1</v>
      </c>
      <c r="B140" s="101" t="s">
        <v>220</v>
      </c>
      <c r="C140" s="102" t="s">
        <v>1346</v>
      </c>
      <c r="D140" s="102" t="s">
        <v>1485</v>
      </c>
      <c r="E140" s="107" t="s">
        <v>957</v>
      </c>
      <c r="F140" s="81" t="s">
        <v>870</v>
      </c>
      <c r="G140" s="81" t="s">
        <v>967</v>
      </c>
      <c r="H140" s="81" t="s">
        <v>973</v>
      </c>
      <c r="I140" s="81" t="s">
        <v>3</v>
      </c>
      <c r="J140" s="82" t="s">
        <v>162</v>
      </c>
      <c r="K140" s="78"/>
      <c r="L140" s="43"/>
    </row>
    <row r="141" spans="1:13" x14ac:dyDescent="0.2">
      <c r="A141" s="83">
        <v>1</v>
      </c>
      <c r="B141" s="43"/>
      <c r="C141" s="43">
        <v>1</v>
      </c>
      <c r="D141" s="43" t="s">
        <v>1265</v>
      </c>
      <c r="E141" s="43">
        <v>2000</v>
      </c>
      <c r="F141" s="90">
        <v>42439</v>
      </c>
      <c r="G141" s="97" t="s">
        <v>1274</v>
      </c>
      <c r="H141" s="43"/>
      <c r="I141" s="43"/>
      <c r="J141" s="79"/>
      <c r="K141" s="78"/>
      <c r="L141" s="43"/>
    </row>
    <row r="142" spans="1:13" x14ac:dyDescent="0.2">
      <c r="A142" s="98">
        <v>2</v>
      </c>
      <c r="B142" s="43"/>
      <c r="C142" s="43">
        <v>1</v>
      </c>
      <c r="D142" s="43" t="s">
        <v>1267</v>
      </c>
      <c r="E142" s="43">
        <v>2000</v>
      </c>
      <c r="F142" s="90">
        <v>42439</v>
      </c>
      <c r="G142" s="97" t="s">
        <v>1275</v>
      </c>
      <c r="H142" s="43" t="s">
        <v>1277</v>
      </c>
      <c r="I142" s="97"/>
      <c r="J142" s="79"/>
      <c r="K142" s="78"/>
      <c r="L142" s="43"/>
    </row>
    <row r="143" spans="1:13" ht="13.5" thickBot="1" x14ac:dyDescent="0.25">
      <c r="A143" s="98">
        <v>3</v>
      </c>
      <c r="B143" s="43"/>
      <c r="C143" s="43">
        <v>3</v>
      </c>
      <c r="D143" s="43" t="s">
        <v>1269</v>
      </c>
      <c r="E143" s="97">
        <v>2650</v>
      </c>
      <c r="F143" s="90">
        <v>42465</v>
      </c>
      <c r="G143" s="92" t="s">
        <v>1276</v>
      </c>
      <c r="H143" s="85" t="s">
        <v>1277</v>
      </c>
      <c r="I143" s="92"/>
      <c r="J143" s="87"/>
      <c r="K143" s="43"/>
      <c r="L143" s="43"/>
    </row>
    <row r="144" spans="1:13" x14ac:dyDescent="0.2">
      <c r="A144" s="123" t="s">
        <v>1279</v>
      </c>
      <c r="B144" s="124"/>
      <c r="C144" s="124"/>
      <c r="D144" s="88"/>
      <c r="E144" s="88"/>
      <c r="F144" s="89"/>
      <c r="G144" s="43"/>
      <c r="H144" s="43"/>
      <c r="I144" s="43"/>
      <c r="J144" s="43"/>
      <c r="K144" s="43"/>
      <c r="L144" s="43"/>
    </row>
    <row r="145" spans="1:12" x14ac:dyDescent="0.2">
      <c r="A145" s="80" t="s">
        <v>1</v>
      </c>
      <c r="B145" s="101" t="s">
        <v>220</v>
      </c>
      <c r="C145" s="102" t="s">
        <v>1345</v>
      </c>
      <c r="D145" s="102" t="s">
        <v>1346</v>
      </c>
      <c r="E145" s="81" t="s">
        <v>957</v>
      </c>
      <c r="F145" s="82" t="s">
        <v>967</v>
      </c>
      <c r="G145" s="97"/>
      <c r="H145" s="43"/>
      <c r="I145" s="43"/>
      <c r="J145" s="43"/>
      <c r="K145" s="43"/>
      <c r="L145" s="43"/>
    </row>
    <row r="146" spans="1:12" x14ac:dyDescent="0.2">
      <c r="A146" s="83">
        <v>1</v>
      </c>
      <c r="B146" s="43"/>
      <c r="C146" s="43">
        <v>1</v>
      </c>
      <c r="D146" s="43">
        <v>4</v>
      </c>
      <c r="E146" s="43">
        <v>2000</v>
      </c>
      <c r="F146" s="79"/>
      <c r="G146" s="90"/>
      <c r="H146" s="43"/>
      <c r="I146" s="43"/>
      <c r="J146" s="43"/>
      <c r="K146" s="43"/>
      <c r="L146" s="43"/>
    </row>
    <row r="147" spans="1:12" x14ac:dyDescent="0.2">
      <c r="A147" s="83">
        <v>2</v>
      </c>
      <c r="B147" s="43"/>
      <c r="C147" s="43">
        <v>2</v>
      </c>
      <c r="D147" s="43">
        <v>2</v>
      </c>
      <c r="E147" s="43">
        <v>2000</v>
      </c>
      <c r="F147" s="79"/>
      <c r="G147" s="90"/>
      <c r="H147" s="43"/>
      <c r="I147" s="43"/>
      <c r="J147" s="43"/>
      <c r="K147" s="43"/>
      <c r="L147" s="43"/>
    </row>
    <row r="148" spans="1:12" x14ac:dyDescent="0.2">
      <c r="A148" s="83">
        <v>3</v>
      </c>
      <c r="B148" s="43"/>
      <c r="C148" s="43">
        <v>3</v>
      </c>
      <c r="D148" s="43">
        <v>2</v>
      </c>
      <c r="E148" s="43">
        <v>662.5</v>
      </c>
      <c r="F148" s="79"/>
      <c r="G148" s="90"/>
      <c r="H148" s="43"/>
      <c r="I148" s="43"/>
      <c r="J148" s="43"/>
      <c r="K148" s="43"/>
      <c r="L148" s="43"/>
    </row>
    <row r="149" spans="1:12" x14ac:dyDescent="0.2">
      <c r="A149" s="83">
        <v>4</v>
      </c>
      <c r="B149" s="43"/>
      <c r="C149" s="43">
        <v>3</v>
      </c>
      <c r="D149" s="43">
        <v>3</v>
      </c>
      <c r="E149" s="43">
        <v>662.5</v>
      </c>
      <c r="F149" s="79"/>
      <c r="G149" s="90"/>
      <c r="H149" s="43"/>
      <c r="I149" s="43"/>
      <c r="J149" s="43"/>
      <c r="K149" s="43"/>
      <c r="L149" s="43"/>
    </row>
    <row r="150" spans="1:12" x14ac:dyDescent="0.2">
      <c r="A150" s="83">
        <v>5</v>
      </c>
      <c r="B150" s="43"/>
      <c r="C150" s="43">
        <v>3</v>
      </c>
      <c r="D150" s="43">
        <v>4</v>
      </c>
      <c r="E150" s="43">
        <v>662.5</v>
      </c>
      <c r="F150" s="79"/>
      <c r="G150" s="90"/>
      <c r="H150" s="43"/>
      <c r="I150" s="43"/>
      <c r="J150" s="43"/>
      <c r="K150" s="43"/>
      <c r="L150" s="43"/>
    </row>
    <row r="151" spans="1:12" ht="13.5" thickBot="1" x14ac:dyDescent="0.25">
      <c r="A151" s="84">
        <v>6</v>
      </c>
      <c r="B151" s="85"/>
      <c r="C151" s="85">
        <v>3</v>
      </c>
      <c r="D151" s="85">
        <v>5</v>
      </c>
      <c r="E151" s="85">
        <v>662.5</v>
      </c>
      <c r="F151" s="87"/>
      <c r="G151" s="90"/>
      <c r="H151" s="43"/>
      <c r="I151" s="43"/>
      <c r="J151" s="43"/>
      <c r="K151" s="43"/>
      <c r="L151" s="43"/>
    </row>
    <row r="161" spans="1:13" ht="13.5" thickBot="1" x14ac:dyDescent="0.25"/>
    <row r="162" spans="1:13" x14ac:dyDescent="0.2">
      <c r="A162" s="129" t="s">
        <v>1011</v>
      </c>
      <c r="B162" s="130"/>
      <c r="C162" s="130"/>
      <c r="D162" s="88"/>
      <c r="E162" s="88"/>
      <c r="F162" s="88"/>
      <c r="G162" s="88"/>
      <c r="H162" s="88"/>
      <c r="I162" s="89"/>
      <c r="J162" s="97"/>
      <c r="K162" s="120"/>
      <c r="L162" s="120"/>
    </row>
    <row r="163" spans="1:13" x14ac:dyDescent="0.2">
      <c r="A163" s="80" t="s">
        <v>1</v>
      </c>
      <c r="B163" s="81" t="s">
        <v>211</v>
      </c>
      <c r="C163" s="81" t="s">
        <v>973</v>
      </c>
      <c r="D163" s="81" t="s">
        <v>1390</v>
      </c>
      <c r="E163" s="81" t="s">
        <v>1391</v>
      </c>
      <c r="F163" s="81" t="s">
        <v>1392</v>
      </c>
      <c r="G163" s="81" t="s">
        <v>1393</v>
      </c>
      <c r="H163" s="81" t="s">
        <v>1394</v>
      </c>
      <c r="I163" s="82" t="s">
        <v>1395</v>
      </c>
      <c r="J163" s="97"/>
      <c r="K163" s="120"/>
      <c r="L163" s="120"/>
    </row>
    <row r="164" spans="1:13" x14ac:dyDescent="0.2">
      <c r="A164" s="83">
        <v>1</v>
      </c>
      <c r="B164" s="43" t="s">
        <v>1487</v>
      </c>
      <c r="C164" s="43" t="s">
        <v>1488</v>
      </c>
      <c r="D164" s="43">
        <v>1</v>
      </c>
      <c r="E164" s="43">
        <v>1</v>
      </c>
      <c r="F164" s="43">
        <v>0</v>
      </c>
      <c r="G164" s="43">
        <v>1</v>
      </c>
      <c r="H164" s="43">
        <v>0</v>
      </c>
      <c r="I164" s="79">
        <v>1</v>
      </c>
      <c r="J164" s="97"/>
      <c r="K164" s="120"/>
      <c r="L164" s="120"/>
    </row>
    <row r="165" spans="1:13" x14ac:dyDescent="0.2">
      <c r="A165" s="83">
        <v>2</v>
      </c>
      <c r="B165" s="43" t="s">
        <v>1489</v>
      </c>
      <c r="C165" s="43" t="s">
        <v>1022</v>
      </c>
      <c r="D165" s="43">
        <v>1</v>
      </c>
      <c r="E165" s="43">
        <v>1</v>
      </c>
      <c r="F165" s="43">
        <v>0</v>
      </c>
      <c r="G165" s="43">
        <v>0</v>
      </c>
      <c r="H165" s="43">
        <v>0</v>
      </c>
      <c r="I165" s="79">
        <v>0</v>
      </c>
      <c r="J165" s="97"/>
      <c r="K165" s="120"/>
      <c r="L165" s="120"/>
    </row>
    <row r="166" spans="1:13" x14ac:dyDescent="0.2">
      <c r="A166" s="83">
        <v>3</v>
      </c>
      <c r="B166" s="114" t="s">
        <v>1490</v>
      </c>
      <c r="C166" s="43" t="s">
        <v>1017</v>
      </c>
      <c r="D166" s="43">
        <v>1</v>
      </c>
      <c r="E166" s="43">
        <v>1</v>
      </c>
      <c r="F166" s="43">
        <v>1</v>
      </c>
      <c r="G166" s="43">
        <v>0</v>
      </c>
      <c r="H166" s="43">
        <v>0</v>
      </c>
      <c r="I166" s="79">
        <v>1</v>
      </c>
      <c r="J166" s="97"/>
      <c r="K166" s="120"/>
      <c r="L166" s="120"/>
    </row>
    <row r="167" spans="1:13" x14ac:dyDescent="0.2">
      <c r="A167" s="83">
        <v>4</v>
      </c>
      <c r="B167" s="115" t="s">
        <v>1491</v>
      </c>
      <c r="C167" s="97" t="s">
        <v>1497</v>
      </c>
      <c r="D167" s="97">
        <v>1</v>
      </c>
      <c r="E167" s="97">
        <v>1</v>
      </c>
      <c r="F167" s="97">
        <v>1</v>
      </c>
      <c r="G167" s="97">
        <v>0</v>
      </c>
      <c r="H167" s="97">
        <v>0</v>
      </c>
      <c r="I167" s="109">
        <v>0</v>
      </c>
      <c r="J167" s="97"/>
      <c r="K167" s="120"/>
      <c r="L167" s="120"/>
    </row>
    <row r="168" spans="1:13" x14ac:dyDescent="0.2">
      <c r="A168" s="83">
        <v>5</v>
      </c>
      <c r="B168" s="43" t="s">
        <v>1492</v>
      </c>
      <c r="C168" s="43" t="s">
        <v>1023</v>
      </c>
      <c r="D168" s="97">
        <v>1</v>
      </c>
      <c r="E168" s="97">
        <v>1</v>
      </c>
      <c r="F168" s="97">
        <v>0</v>
      </c>
      <c r="G168" s="97">
        <v>0</v>
      </c>
      <c r="H168" s="97">
        <v>0</v>
      </c>
      <c r="I168" s="109">
        <v>0</v>
      </c>
      <c r="J168" s="97"/>
      <c r="K168" s="120"/>
      <c r="L168" s="120"/>
    </row>
    <row r="169" spans="1:13" x14ac:dyDescent="0.2">
      <c r="A169" s="83">
        <v>6</v>
      </c>
      <c r="B169" s="97" t="s">
        <v>1493</v>
      </c>
      <c r="C169" s="97" t="s">
        <v>1498</v>
      </c>
      <c r="D169" s="97">
        <v>1</v>
      </c>
      <c r="E169" s="97">
        <v>1</v>
      </c>
      <c r="F169" s="97">
        <v>0</v>
      </c>
      <c r="G169" s="97">
        <v>1</v>
      </c>
      <c r="H169" s="97">
        <v>0</v>
      </c>
      <c r="I169" s="109">
        <v>0</v>
      </c>
      <c r="J169" s="97"/>
      <c r="K169" s="120"/>
      <c r="L169" s="120"/>
    </row>
    <row r="170" spans="1:13" x14ac:dyDescent="0.2">
      <c r="A170" s="83">
        <v>7</v>
      </c>
      <c r="B170" s="97" t="s">
        <v>1494</v>
      </c>
      <c r="C170" s="97" t="s">
        <v>1499</v>
      </c>
      <c r="D170" s="97">
        <v>1</v>
      </c>
      <c r="E170" s="97">
        <v>1</v>
      </c>
      <c r="F170" s="97">
        <v>0</v>
      </c>
      <c r="G170" s="97">
        <v>1</v>
      </c>
      <c r="H170" s="97">
        <v>0</v>
      </c>
      <c r="I170" s="109">
        <v>0</v>
      </c>
      <c r="J170" s="97"/>
      <c r="K170" s="120"/>
      <c r="L170" s="120"/>
    </row>
    <row r="171" spans="1:13" x14ac:dyDescent="0.2">
      <c r="A171" s="83">
        <v>8</v>
      </c>
      <c r="B171" s="97" t="s">
        <v>1495</v>
      </c>
      <c r="C171" s="97" t="s">
        <v>1500</v>
      </c>
      <c r="D171" s="43">
        <v>1</v>
      </c>
      <c r="E171" s="43">
        <v>1</v>
      </c>
      <c r="F171" s="43">
        <v>0</v>
      </c>
      <c r="G171" s="43">
        <v>1</v>
      </c>
      <c r="H171" s="43">
        <v>0</v>
      </c>
      <c r="I171" s="79">
        <v>0</v>
      </c>
      <c r="J171" s="97"/>
      <c r="K171" s="120"/>
      <c r="L171" s="120"/>
    </row>
    <row r="172" spans="1:13" ht="13.5" thickBot="1" x14ac:dyDescent="0.25">
      <c r="A172" s="84">
        <v>9</v>
      </c>
      <c r="B172" s="92" t="s">
        <v>1496</v>
      </c>
      <c r="C172" s="92" t="s">
        <v>1501</v>
      </c>
      <c r="D172" s="85">
        <v>1</v>
      </c>
      <c r="E172" s="85">
        <v>1</v>
      </c>
      <c r="F172" s="85">
        <v>0</v>
      </c>
      <c r="G172" s="85">
        <v>1</v>
      </c>
      <c r="H172" s="85">
        <v>0</v>
      </c>
      <c r="I172" s="87">
        <v>0</v>
      </c>
      <c r="J172" s="97"/>
      <c r="K172" s="120"/>
      <c r="L172" s="120"/>
    </row>
    <row r="173" spans="1:13" ht="13.5" thickBot="1" x14ac:dyDescent="0.25">
      <c r="A173" s="83"/>
      <c r="B173" s="97"/>
      <c r="C173" s="97"/>
      <c r="D173" s="43"/>
      <c r="E173" s="43"/>
      <c r="F173" s="43"/>
      <c r="G173" s="43"/>
      <c r="H173" s="43"/>
      <c r="I173" s="43"/>
      <c r="J173" s="97"/>
      <c r="K173" s="120"/>
      <c r="L173" s="120"/>
    </row>
    <row r="174" spans="1:13" x14ac:dyDescent="0.2">
      <c r="A174" s="122" t="s">
        <v>60</v>
      </c>
      <c r="B174" s="121"/>
      <c r="C174" s="121"/>
      <c r="D174" s="118"/>
      <c r="E174" s="119"/>
      <c r="F174" s="97"/>
      <c r="G174" s="136" t="s">
        <v>95</v>
      </c>
      <c r="H174" s="130"/>
      <c r="I174" s="131"/>
      <c r="J174" s="97"/>
      <c r="K174" s="136" t="s">
        <v>128</v>
      </c>
      <c r="L174" s="130"/>
      <c r="M174" s="131"/>
    </row>
    <row r="175" spans="1:13" x14ac:dyDescent="0.2">
      <c r="A175" s="80" t="s">
        <v>1</v>
      </c>
      <c r="B175" s="101" t="s">
        <v>220</v>
      </c>
      <c r="C175" s="102" t="s">
        <v>1012</v>
      </c>
      <c r="D175" s="107" t="s">
        <v>788</v>
      </c>
      <c r="E175" s="105" t="s">
        <v>1418</v>
      </c>
      <c r="F175" s="97"/>
      <c r="G175" s="80" t="s">
        <v>1</v>
      </c>
      <c r="H175" s="81" t="s">
        <v>211</v>
      </c>
      <c r="I175" s="82" t="s">
        <v>212</v>
      </c>
      <c r="J175" s="97"/>
      <c r="K175" s="80" t="s">
        <v>1</v>
      </c>
      <c r="L175" s="81" t="s">
        <v>211</v>
      </c>
      <c r="M175" s="82" t="s">
        <v>212</v>
      </c>
    </row>
    <row r="176" spans="1:13" x14ac:dyDescent="0.2">
      <c r="A176" s="98">
        <v>1</v>
      </c>
      <c r="B176" s="43"/>
      <c r="C176" s="97">
        <v>1</v>
      </c>
      <c r="D176" s="97" t="s">
        <v>1018</v>
      </c>
      <c r="E176" s="109">
        <v>1</v>
      </c>
      <c r="F176" s="97"/>
      <c r="G176" s="83">
        <v>1</v>
      </c>
      <c r="H176" s="43" t="s">
        <v>1021</v>
      </c>
      <c r="I176" s="79" t="s">
        <v>896</v>
      </c>
      <c r="J176" s="97"/>
      <c r="K176" s="83">
        <v>1</v>
      </c>
      <c r="L176" s="43" t="s">
        <v>1122</v>
      </c>
      <c r="M176" s="79" t="s">
        <v>1123</v>
      </c>
    </row>
    <row r="177" spans="1:13" x14ac:dyDescent="0.2">
      <c r="A177" s="98">
        <v>2</v>
      </c>
      <c r="B177" s="43"/>
      <c r="C177" s="97">
        <v>2</v>
      </c>
      <c r="D177" s="97" t="s">
        <v>1015</v>
      </c>
      <c r="E177" s="109">
        <v>1</v>
      </c>
      <c r="F177" s="97"/>
      <c r="G177" s="83">
        <v>2</v>
      </c>
      <c r="H177" s="43" t="s">
        <v>1026</v>
      </c>
      <c r="I177" s="79" t="s">
        <v>1025</v>
      </c>
      <c r="J177" s="43"/>
      <c r="K177" s="83">
        <v>2</v>
      </c>
      <c r="L177" s="43" t="s">
        <v>1124</v>
      </c>
      <c r="M177" s="109" t="s">
        <v>1125</v>
      </c>
    </row>
    <row r="178" spans="1:13" ht="13.5" thickBot="1" x14ac:dyDescent="0.25">
      <c r="A178" s="108">
        <v>3</v>
      </c>
      <c r="B178" s="85"/>
      <c r="C178" s="92">
        <v>3</v>
      </c>
      <c r="D178" s="92" t="s">
        <v>1004</v>
      </c>
      <c r="E178" s="110">
        <v>1</v>
      </c>
      <c r="F178" s="97"/>
      <c r="G178" s="83">
        <v>3</v>
      </c>
      <c r="H178" s="43" t="s">
        <v>1027</v>
      </c>
      <c r="I178" s="79" t="s">
        <v>1028</v>
      </c>
      <c r="J178" s="43"/>
      <c r="K178" s="83">
        <v>3</v>
      </c>
      <c r="L178" s="43" t="s">
        <v>1126</v>
      </c>
      <c r="M178" s="79" t="s">
        <v>885</v>
      </c>
    </row>
    <row r="179" spans="1:13" x14ac:dyDescent="0.2">
      <c r="A179" s="123" t="s">
        <v>1014</v>
      </c>
      <c r="B179" s="124"/>
      <c r="C179" s="124"/>
      <c r="D179" s="88"/>
      <c r="E179" s="88"/>
      <c r="F179" s="88"/>
      <c r="G179" s="88"/>
      <c r="H179" s="88"/>
      <c r="I179" s="88"/>
      <c r="J179" s="88"/>
      <c r="K179" s="88"/>
      <c r="L179" s="88"/>
      <c r="M179" s="89"/>
    </row>
    <row r="180" spans="1:13" x14ac:dyDescent="0.2">
      <c r="A180" s="80" t="s">
        <v>1</v>
      </c>
      <c r="B180" s="101" t="s">
        <v>220</v>
      </c>
      <c r="C180" s="106" t="s">
        <v>222</v>
      </c>
      <c r="D180" s="81" t="s">
        <v>229</v>
      </c>
      <c r="E180" s="81" t="s">
        <v>965</v>
      </c>
      <c r="F180" s="81" t="s">
        <v>966</v>
      </c>
      <c r="G180" s="81" t="s">
        <v>957</v>
      </c>
      <c r="H180" s="106" t="s">
        <v>1418</v>
      </c>
      <c r="I180" s="81" t="s">
        <v>967</v>
      </c>
      <c r="J180" s="102" t="s">
        <v>233</v>
      </c>
      <c r="K180" s="102" t="s">
        <v>1119</v>
      </c>
      <c r="L180" s="81" t="s">
        <v>3</v>
      </c>
      <c r="M180" s="82" t="s">
        <v>162</v>
      </c>
    </row>
    <row r="181" spans="1:13" x14ac:dyDescent="0.2">
      <c r="A181" s="83">
        <v>1</v>
      </c>
      <c r="B181" s="43"/>
      <c r="C181" s="43">
        <v>1</v>
      </c>
      <c r="D181" s="90">
        <v>42470</v>
      </c>
      <c r="E181" s="43">
        <v>1</v>
      </c>
      <c r="F181" s="43">
        <v>2</v>
      </c>
      <c r="G181" s="43">
        <v>40000</v>
      </c>
      <c r="H181" s="43"/>
      <c r="I181" s="43" t="s">
        <v>1024</v>
      </c>
      <c r="J181" s="43" t="s">
        <v>1123</v>
      </c>
      <c r="K181" s="43"/>
      <c r="L181" s="43"/>
      <c r="M181" s="79"/>
    </row>
    <row r="182" spans="1:13" x14ac:dyDescent="0.2">
      <c r="A182" s="83">
        <v>2</v>
      </c>
      <c r="B182" s="43"/>
      <c r="C182" s="43">
        <v>2</v>
      </c>
      <c r="D182" s="90">
        <v>42475</v>
      </c>
      <c r="E182" s="43">
        <v>1</v>
      </c>
      <c r="F182" s="43"/>
      <c r="G182" s="43">
        <v>500</v>
      </c>
      <c r="H182" s="43"/>
      <c r="I182" s="43" t="s">
        <v>1029</v>
      </c>
      <c r="J182" s="43" t="s">
        <v>1123</v>
      </c>
      <c r="K182" s="43"/>
      <c r="L182" s="43"/>
      <c r="M182" s="79"/>
    </row>
    <row r="183" spans="1:13" ht="13.5" thickBot="1" x14ac:dyDescent="0.25">
      <c r="A183" s="84">
        <v>3</v>
      </c>
      <c r="B183" s="85"/>
      <c r="C183" s="85">
        <v>3</v>
      </c>
      <c r="D183" s="86">
        <v>42134</v>
      </c>
      <c r="E183" s="85">
        <v>1</v>
      </c>
      <c r="F183" s="85">
        <v>3</v>
      </c>
      <c r="G183" s="85">
        <v>10000</v>
      </c>
      <c r="H183" s="85"/>
      <c r="I183" s="85" t="s">
        <v>1030</v>
      </c>
      <c r="J183" s="85" t="s">
        <v>1123</v>
      </c>
      <c r="K183" s="85"/>
      <c r="L183" s="85"/>
      <c r="M183" s="87"/>
    </row>
  </sheetData>
  <mergeCells count="42">
    <mergeCell ref="A162:C162"/>
    <mergeCell ref="K174:M174"/>
    <mergeCell ref="G174:I174"/>
    <mergeCell ref="A179:C179"/>
    <mergeCell ref="A12:C12"/>
    <mergeCell ref="E12:G12"/>
    <mergeCell ref="A65:C65"/>
    <mergeCell ref="A59:C59"/>
    <mergeCell ref="A62:C62"/>
    <mergeCell ref="A71:C71"/>
    <mergeCell ref="G71:I71"/>
    <mergeCell ref="K71:M71"/>
    <mergeCell ref="A76:C76"/>
    <mergeCell ref="A79:C79"/>
    <mergeCell ref="A82:C82"/>
    <mergeCell ref="I117:K117"/>
    <mergeCell ref="L1:N1"/>
    <mergeCell ref="J12:L12"/>
    <mergeCell ref="G54:I54"/>
    <mergeCell ref="A17:C17"/>
    <mergeCell ref="K54:M54"/>
    <mergeCell ref="A1:C1"/>
    <mergeCell ref="A54:C54"/>
    <mergeCell ref="A44:C44"/>
    <mergeCell ref="A48:C48"/>
    <mergeCell ref="A36:C36"/>
    <mergeCell ref="A40:C40"/>
    <mergeCell ref="A28:C28"/>
    <mergeCell ref="A32:C32"/>
    <mergeCell ref="A114:C114"/>
    <mergeCell ref="A117:C117"/>
    <mergeCell ref="A111:C111"/>
    <mergeCell ref="H88:J88"/>
    <mergeCell ref="L88:N88"/>
    <mergeCell ref="A93:C93"/>
    <mergeCell ref="A96:C96"/>
    <mergeCell ref="A88:C88"/>
    <mergeCell ref="A144:C144"/>
    <mergeCell ref="A129:C129"/>
    <mergeCell ref="A132:C132"/>
    <mergeCell ref="A139:C139"/>
    <mergeCell ref="G134:I134"/>
  </mergeCells>
  <conditionalFormatting sqref="D164:I173">
    <cfRule type="cellIs" dxfId="63" priority="1" operator="equal">
      <formula>1</formula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J288"/>
  <sheetViews>
    <sheetView workbookViewId="0">
      <pane ySplit="1" topLeftCell="A278" activePane="bottomLeft" state="frozen"/>
      <selection pane="bottomLeft" activeCell="B8" sqref="B8"/>
    </sheetView>
  </sheetViews>
  <sheetFormatPr defaultRowHeight="12.75" x14ac:dyDescent="0.2"/>
  <cols>
    <col min="1" max="1" width="9.140625" style="112"/>
    <col min="2" max="2" width="21" bestFit="1" customWidth="1"/>
    <col min="3" max="3" width="24.140625" bestFit="1" customWidth="1"/>
    <col min="4" max="4" width="14.7109375" bestFit="1" customWidth="1"/>
    <col min="8" max="8" width="11.42578125" customWidth="1"/>
  </cols>
  <sheetData>
    <row r="1" spans="1:10" x14ac:dyDescent="0.2">
      <c r="A1" s="77" t="s">
        <v>1830</v>
      </c>
      <c r="B1" s="62" t="s">
        <v>861</v>
      </c>
      <c r="C1" s="62" t="s">
        <v>862</v>
      </c>
      <c r="D1" s="62" t="s">
        <v>863</v>
      </c>
      <c r="E1" s="62" t="s">
        <v>857</v>
      </c>
      <c r="F1" s="62" t="s">
        <v>858</v>
      </c>
      <c r="G1" s="62" t="s">
        <v>202</v>
      </c>
      <c r="H1" s="62" t="s">
        <v>864</v>
      </c>
      <c r="I1" s="62" t="s">
        <v>859</v>
      </c>
      <c r="J1" s="62" t="s">
        <v>860</v>
      </c>
    </row>
    <row r="2" spans="1:10" x14ac:dyDescent="0.2">
      <c r="A2" s="112">
        <v>3</v>
      </c>
      <c r="B2" s="63" t="s">
        <v>1011</v>
      </c>
      <c r="C2" s="63" t="s">
        <v>973</v>
      </c>
      <c r="D2" s="63" t="s">
        <v>1798</v>
      </c>
      <c r="E2" s="63" t="s">
        <v>866</v>
      </c>
      <c r="F2" s="63">
        <v>255</v>
      </c>
      <c r="G2" s="63" t="s">
        <v>27</v>
      </c>
      <c r="H2" s="63" t="b">
        <v>0</v>
      </c>
      <c r="I2" s="63" t="b">
        <v>0</v>
      </c>
      <c r="J2" s="63" t="b">
        <v>0</v>
      </c>
    </row>
    <row r="3" spans="1:10" x14ac:dyDescent="0.2">
      <c r="A3" s="112">
        <v>6</v>
      </c>
      <c r="B3" s="63" t="s">
        <v>1011</v>
      </c>
      <c r="C3" s="63" t="s">
        <v>984</v>
      </c>
      <c r="D3" s="63" t="s">
        <v>1801</v>
      </c>
      <c r="E3" s="63" t="s">
        <v>865</v>
      </c>
      <c r="F3" s="63"/>
      <c r="G3" s="63"/>
      <c r="H3" s="63" t="b">
        <v>1</v>
      </c>
      <c r="I3" s="63" t="b">
        <v>0</v>
      </c>
      <c r="J3" s="63" t="b">
        <v>0</v>
      </c>
    </row>
    <row r="4" spans="1:10" x14ac:dyDescent="0.2">
      <c r="A4" s="112">
        <v>7</v>
      </c>
      <c r="B4" s="63" t="s">
        <v>1011</v>
      </c>
      <c r="C4" s="63" t="s">
        <v>985</v>
      </c>
      <c r="D4" s="63" t="s">
        <v>1802</v>
      </c>
      <c r="E4" s="63" t="s">
        <v>865</v>
      </c>
      <c r="F4" s="63"/>
      <c r="G4" s="63"/>
      <c r="H4" s="63" t="b">
        <v>1</v>
      </c>
      <c r="I4" s="63" t="b">
        <v>0</v>
      </c>
      <c r="J4" s="63" t="b">
        <v>0</v>
      </c>
    </row>
    <row r="5" spans="1:10" x14ac:dyDescent="0.2">
      <c r="A5" s="112">
        <v>1</v>
      </c>
      <c r="B5" s="63" t="s">
        <v>1011</v>
      </c>
      <c r="C5" s="63" t="s">
        <v>1</v>
      </c>
      <c r="D5" s="63" t="s">
        <v>1796</v>
      </c>
      <c r="E5" s="63" t="s">
        <v>865</v>
      </c>
      <c r="F5" s="63">
        <v>11</v>
      </c>
      <c r="G5" s="63"/>
      <c r="H5" s="63" t="b">
        <v>1</v>
      </c>
      <c r="I5" s="63" t="b">
        <v>1</v>
      </c>
      <c r="J5" s="63" t="b">
        <v>0</v>
      </c>
    </row>
    <row r="6" spans="1:10" x14ac:dyDescent="0.2">
      <c r="A6" s="112">
        <v>8</v>
      </c>
      <c r="B6" s="63" t="s">
        <v>1011</v>
      </c>
      <c r="C6" s="63" t="s">
        <v>986</v>
      </c>
      <c r="D6" s="63" t="s">
        <v>1803</v>
      </c>
      <c r="E6" s="63" t="s">
        <v>865</v>
      </c>
      <c r="F6" s="63"/>
      <c r="G6" s="63"/>
      <c r="H6" s="63" t="b">
        <v>1</v>
      </c>
      <c r="I6" s="63" t="b">
        <v>0</v>
      </c>
      <c r="J6" s="63" t="b">
        <v>0</v>
      </c>
    </row>
    <row r="7" spans="1:10" x14ac:dyDescent="0.2">
      <c r="A7" s="112">
        <v>9</v>
      </c>
      <c r="B7" s="63" t="s">
        <v>1011</v>
      </c>
      <c r="C7" s="63" t="s">
        <v>987</v>
      </c>
      <c r="D7" s="63" t="s">
        <v>1804</v>
      </c>
      <c r="E7" s="63" t="s">
        <v>865</v>
      </c>
      <c r="F7" s="63"/>
      <c r="G7" s="63"/>
      <c r="H7" s="63" t="b">
        <v>1</v>
      </c>
      <c r="I7" s="63" t="b">
        <v>0</v>
      </c>
      <c r="J7" s="63" t="b">
        <v>0</v>
      </c>
    </row>
    <row r="8" spans="1:10" x14ac:dyDescent="0.2">
      <c r="A8" s="112">
        <v>2</v>
      </c>
      <c r="B8" s="63" t="s">
        <v>1011</v>
      </c>
      <c r="C8" s="63" t="s">
        <v>788</v>
      </c>
      <c r="D8" s="63" t="s">
        <v>1797</v>
      </c>
      <c r="E8" s="63" t="s">
        <v>866</v>
      </c>
      <c r="F8" s="63">
        <v>255</v>
      </c>
      <c r="G8" s="63"/>
      <c r="H8" s="63" t="b">
        <v>1</v>
      </c>
      <c r="I8" s="63" t="b">
        <v>0</v>
      </c>
      <c r="J8" s="63" t="b">
        <v>0</v>
      </c>
    </row>
    <row r="9" spans="1:10" x14ac:dyDescent="0.2">
      <c r="A9" s="112">
        <v>4</v>
      </c>
      <c r="B9" s="63" t="s">
        <v>1011</v>
      </c>
      <c r="C9" s="63" t="s">
        <v>982</v>
      </c>
      <c r="D9" s="63" t="s">
        <v>1799</v>
      </c>
      <c r="E9" s="63" t="s">
        <v>865</v>
      </c>
      <c r="F9" s="63"/>
      <c r="G9" s="63"/>
      <c r="H9" s="63" t="b">
        <v>1</v>
      </c>
      <c r="I9" s="63" t="b">
        <v>0</v>
      </c>
      <c r="J9" s="63" t="b">
        <v>0</v>
      </c>
    </row>
    <row r="10" spans="1:10" x14ac:dyDescent="0.2">
      <c r="A10" s="112">
        <v>5</v>
      </c>
      <c r="B10" s="63" t="s">
        <v>1011</v>
      </c>
      <c r="C10" s="63" t="s">
        <v>983</v>
      </c>
      <c r="D10" s="63" t="s">
        <v>1800</v>
      </c>
      <c r="E10" s="63" t="s">
        <v>865</v>
      </c>
      <c r="F10" s="63"/>
      <c r="G10" s="63"/>
      <c r="H10" s="63" t="b">
        <v>1</v>
      </c>
      <c r="I10" s="63" t="b">
        <v>0</v>
      </c>
      <c r="J10" s="63" t="b">
        <v>0</v>
      </c>
    </row>
    <row r="11" spans="1:10" x14ac:dyDescent="0.2">
      <c r="A11" s="112">
        <v>11</v>
      </c>
      <c r="B11" s="112" t="s">
        <v>1824</v>
      </c>
      <c r="C11" s="112" t="s">
        <v>1601</v>
      </c>
      <c r="D11" s="112" t="s">
        <v>1602</v>
      </c>
      <c r="E11" s="112" t="s">
        <v>865</v>
      </c>
      <c r="F11" s="112">
        <v>11</v>
      </c>
      <c r="G11" s="112"/>
      <c r="H11" s="112" t="b">
        <v>1</v>
      </c>
      <c r="I11" s="112" t="b">
        <v>0</v>
      </c>
      <c r="J11" s="112" t="b">
        <v>0</v>
      </c>
    </row>
    <row r="12" spans="1:10" x14ac:dyDescent="0.2">
      <c r="A12" s="112">
        <v>15</v>
      </c>
      <c r="B12" t="s">
        <v>1824</v>
      </c>
      <c r="C12" t="s">
        <v>1430</v>
      </c>
      <c r="D12" t="s">
        <v>1607</v>
      </c>
      <c r="E12" t="s">
        <v>865</v>
      </c>
      <c r="F12">
        <v>11</v>
      </c>
      <c r="G12" t="s">
        <v>27</v>
      </c>
      <c r="H12" t="b">
        <v>0</v>
      </c>
      <c r="I12" t="b">
        <v>0</v>
      </c>
      <c r="J12" t="b">
        <v>0</v>
      </c>
    </row>
    <row r="13" spans="1:10" x14ac:dyDescent="0.2">
      <c r="A13" s="112">
        <v>10</v>
      </c>
      <c r="B13" t="s">
        <v>1824</v>
      </c>
      <c r="C13" t="s">
        <v>1</v>
      </c>
      <c r="D13" t="s">
        <v>1600</v>
      </c>
      <c r="E13" t="s">
        <v>865</v>
      </c>
      <c r="F13">
        <v>11</v>
      </c>
      <c r="H13" t="b">
        <v>1</v>
      </c>
      <c r="I13" t="b">
        <v>1</v>
      </c>
      <c r="J13" t="b">
        <v>0</v>
      </c>
    </row>
    <row r="14" spans="1:10" x14ac:dyDescent="0.2">
      <c r="A14" s="112">
        <v>18</v>
      </c>
      <c r="B14" t="s">
        <v>1824</v>
      </c>
      <c r="C14" t="s">
        <v>162</v>
      </c>
      <c r="D14" t="s">
        <v>1610</v>
      </c>
      <c r="E14" t="s">
        <v>868</v>
      </c>
      <c r="G14" t="s">
        <v>27</v>
      </c>
      <c r="H14" t="b">
        <v>0</v>
      </c>
      <c r="I14" t="b">
        <v>0</v>
      </c>
      <c r="J14" t="b">
        <v>0</v>
      </c>
    </row>
    <row r="15" spans="1:10" x14ac:dyDescent="0.2">
      <c r="A15" s="112">
        <v>17</v>
      </c>
      <c r="B15" s="112" t="s">
        <v>1824</v>
      </c>
      <c r="C15" s="112" t="s">
        <v>967</v>
      </c>
      <c r="D15" s="112" t="s">
        <v>1609</v>
      </c>
      <c r="E15" s="112" t="s">
        <v>866</v>
      </c>
      <c r="F15" s="112">
        <v>255</v>
      </c>
      <c r="G15" s="112" t="s">
        <v>27</v>
      </c>
      <c r="H15" s="112" t="b">
        <v>0</v>
      </c>
      <c r="I15" s="112" t="b">
        <v>0</v>
      </c>
      <c r="J15" s="112" t="b">
        <v>0</v>
      </c>
    </row>
    <row r="16" spans="1:10" x14ac:dyDescent="0.2">
      <c r="A16" s="112">
        <v>14</v>
      </c>
      <c r="B16" s="112" t="s">
        <v>1824</v>
      </c>
      <c r="C16" s="112" t="s">
        <v>946</v>
      </c>
      <c r="D16" s="112" t="s">
        <v>1606</v>
      </c>
      <c r="E16" s="112" t="s">
        <v>873</v>
      </c>
      <c r="F16" s="112" t="s">
        <v>871</v>
      </c>
      <c r="G16" s="112">
        <v>0</v>
      </c>
      <c r="H16" s="112" t="b">
        <v>1</v>
      </c>
      <c r="I16" s="112" t="b">
        <v>0</v>
      </c>
      <c r="J16" s="112" t="b">
        <v>0</v>
      </c>
    </row>
    <row r="17" spans="1:10" x14ac:dyDescent="0.2">
      <c r="A17" s="112">
        <v>13</v>
      </c>
      <c r="B17" s="112" t="s">
        <v>1824</v>
      </c>
      <c r="C17" s="112" t="s">
        <v>931</v>
      </c>
      <c r="D17" s="112" t="s">
        <v>1605</v>
      </c>
      <c r="E17" s="112" t="s">
        <v>869</v>
      </c>
      <c r="F17" s="112"/>
      <c r="G17" s="112"/>
      <c r="H17" s="112" t="b">
        <v>1</v>
      </c>
      <c r="I17" s="112" t="b">
        <v>0</v>
      </c>
      <c r="J17" s="112" t="b">
        <v>0</v>
      </c>
    </row>
    <row r="18" spans="1:10" x14ac:dyDescent="0.2">
      <c r="A18" s="112">
        <v>16</v>
      </c>
      <c r="B18" t="s">
        <v>1824</v>
      </c>
      <c r="C18" t="s">
        <v>1460</v>
      </c>
      <c r="D18" t="s">
        <v>1608</v>
      </c>
      <c r="E18" t="s">
        <v>865</v>
      </c>
      <c r="F18">
        <v>11</v>
      </c>
      <c r="G18" t="s">
        <v>27</v>
      </c>
      <c r="H18" t="b">
        <v>0</v>
      </c>
      <c r="I18" t="b">
        <v>0</v>
      </c>
      <c r="J18" t="b">
        <v>0</v>
      </c>
    </row>
    <row r="19" spans="1:10" x14ac:dyDescent="0.2">
      <c r="A19" s="112">
        <v>12</v>
      </c>
      <c r="B19" t="s">
        <v>1824</v>
      </c>
      <c r="C19" t="s">
        <v>4</v>
      </c>
      <c r="D19" t="s">
        <v>1604</v>
      </c>
      <c r="E19" t="s">
        <v>865</v>
      </c>
      <c r="F19">
        <v>11</v>
      </c>
      <c r="H19" t="b">
        <v>1</v>
      </c>
      <c r="I19" t="b">
        <v>0</v>
      </c>
      <c r="J19" t="b">
        <v>0</v>
      </c>
    </row>
    <row r="20" spans="1:10" x14ac:dyDescent="0.2">
      <c r="A20" s="112">
        <v>23</v>
      </c>
      <c r="B20" s="63" t="s">
        <v>1593</v>
      </c>
      <c r="C20" s="63" t="s">
        <v>1502</v>
      </c>
      <c r="D20" s="63" t="s">
        <v>1211</v>
      </c>
      <c r="E20" s="63" t="s">
        <v>865</v>
      </c>
      <c r="F20" s="63">
        <v>11</v>
      </c>
      <c r="G20" s="63"/>
      <c r="H20" s="63" t="b">
        <v>1</v>
      </c>
      <c r="I20" s="63" t="b">
        <v>0</v>
      </c>
      <c r="J20" s="63" t="b">
        <v>0</v>
      </c>
    </row>
    <row r="21" spans="1:10" x14ac:dyDescent="0.2">
      <c r="A21" s="112">
        <v>19</v>
      </c>
      <c r="B21" s="63" t="s">
        <v>1593</v>
      </c>
      <c r="C21" s="63" t="s">
        <v>1</v>
      </c>
      <c r="D21" s="63" t="s">
        <v>1207</v>
      </c>
      <c r="E21" s="63" t="s">
        <v>865</v>
      </c>
      <c r="F21" s="63">
        <v>11</v>
      </c>
      <c r="G21" s="63"/>
      <c r="H21" s="63" t="b">
        <v>1</v>
      </c>
      <c r="I21" s="63" t="b">
        <v>1</v>
      </c>
      <c r="J21" s="63" t="b">
        <v>0</v>
      </c>
    </row>
    <row r="22" spans="1:10" x14ac:dyDescent="0.2">
      <c r="A22" s="112">
        <v>21</v>
      </c>
      <c r="B22" s="63" t="s">
        <v>1593</v>
      </c>
      <c r="C22" s="63" t="s">
        <v>788</v>
      </c>
      <c r="D22" s="63" t="s">
        <v>1209</v>
      </c>
      <c r="E22" s="63" t="s">
        <v>866</v>
      </c>
      <c r="F22" s="63">
        <v>255</v>
      </c>
      <c r="G22" s="63"/>
      <c r="H22" s="63" t="b">
        <v>1</v>
      </c>
      <c r="I22" s="63" t="b">
        <v>0</v>
      </c>
      <c r="J22" s="63" t="b">
        <v>0</v>
      </c>
    </row>
    <row r="23" spans="1:10" x14ac:dyDescent="0.2">
      <c r="A23" s="112">
        <v>22</v>
      </c>
      <c r="B23" s="63" t="s">
        <v>1593</v>
      </c>
      <c r="C23" s="63" t="s">
        <v>1387</v>
      </c>
      <c r="D23" s="63" t="s">
        <v>1210</v>
      </c>
      <c r="E23" s="63" t="s">
        <v>865</v>
      </c>
      <c r="F23" s="63">
        <v>11</v>
      </c>
      <c r="G23" s="63"/>
      <c r="H23" s="63" t="b">
        <v>1</v>
      </c>
      <c r="I23" s="63" t="b">
        <v>0</v>
      </c>
      <c r="J23" s="63" t="b">
        <v>0</v>
      </c>
    </row>
    <row r="24" spans="1:10" x14ac:dyDescent="0.2">
      <c r="A24" s="112">
        <v>20</v>
      </c>
      <c r="B24" s="63" t="s">
        <v>1593</v>
      </c>
      <c r="C24" s="63" t="s">
        <v>4</v>
      </c>
      <c r="D24" s="63" t="s">
        <v>1208</v>
      </c>
      <c r="E24" s="63" t="s">
        <v>865</v>
      </c>
      <c r="F24" s="63">
        <v>11</v>
      </c>
      <c r="G24" s="63"/>
      <c r="H24" s="63" t="b">
        <v>1</v>
      </c>
      <c r="I24" s="63" t="b">
        <v>0</v>
      </c>
      <c r="J24" s="63" t="b">
        <v>0</v>
      </c>
    </row>
    <row r="25" spans="1:10" x14ac:dyDescent="0.2">
      <c r="A25" s="112">
        <v>26</v>
      </c>
      <c r="B25" s="63" t="s">
        <v>1463</v>
      </c>
      <c r="C25" s="63" t="s">
        <v>867</v>
      </c>
      <c r="D25" s="63" t="s">
        <v>1715</v>
      </c>
      <c r="E25" s="63" t="s">
        <v>866</v>
      </c>
      <c r="F25" s="63">
        <v>20</v>
      </c>
      <c r="G25" s="63"/>
      <c r="H25" s="63" t="b">
        <v>1</v>
      </c>
      <c r="I25" s="63" t="b">
        <v>0</v>
      </c>
      <c r="J25" s="63" t="b">
        <v>0</v>
      </c>
    </row>
    <row r="26" spans="1:10" x14ac:dyDescent="0.2">
      <c r="A26" s="112">
        <v>24</v>
      </c>
      <c r="B26" s="63" t="s">
        <v>1463</v>
      </c>
      <c r="C26" s="63" t="s">
        <v>1</v>
      </c>
      <c r="D26" s="63" t="s">
        <v>1713</v>
      </c>
      <c r="E26" s="63" t="s">
        <v>865</v>
      </c>
      <c r="F26" s="63">
        <v>11</v>
      </c>
      <c r="G26" s="63"/>
      <c r="H26" s="63" t="b">
        <v>1</v>
      </c>
      <c r="I26" s="63" t="b">
        <v>1</v>
      </c>
      <c r="J26" s="63" t="b">
        <v>0</v>
      </c>
    </row>
    <row r="27" spans="1:10" x14ac:dyDescent="0.2">
      <c r="A27" s="112">
        <v>25</v>
      </c>
      <c r="B27" s="63" t="s">
        <v>1463</v>
      </c>
      <c r="C27" s="63" t="s">
        <v>788</v>
      </c>
      <c r="D27" s="63" t="s">
        <v>1714</v>
      </c>
      <c r="E27" s="63" t="s">
        <v>866</v>
      </c>
      <c r="F27" s="63">
        <v>255</v>
      </c>
      <c r="G27" s="63"/>
      <c r="H27" s="63" t="b">
        <v>1</v>
      </c>
      <c r="I27" s="63" t="b">
        <v>0</v>
      </c>
      <c r="J27" s="63" t="b">
        <v>0</v>
      </c>
    </row>
    <row r="28" spans="1:10" x14ac:dyDescent="0.2">
      <c r="A28" s="112">
        <v>35</v>
      </c>
      <c r="B28" s="63" t="s">
        <v>1149</v>
      </c>
      <c r="C28" s="63" t="s">
        <v>1459</v>
      </c>
      <c r="D28" s="63" t="s">
        <v>1731</v>
      </c>
      <c r="E28" s="63" t="s">
        <v>873</v>
      </c>
      <c r="F28" s="63" t="s">
        <v>871</v>
      </c>
      <c r="G28" s="63">
        <v>0</v>
      </c>
      <c r="H28" s="63" t="b">
        <v>0</v>
      </c>
      <c r="I28" s="63" t="b">
        <v>0</v>
      </c>
      <c r="J28" s="63" t="b">
        <v>0</v>
      </c>
    </row>
    <row r="29" spans="1:10" x14ac:dyDescent="0.2">
      <c r="A29" s="112">
        <v>31</v>
      </c>
      <c r="B29" s="63" t="s">
        <v>1149</v>
      </c>
      <c r="C29" s="63" t="s">
        <v>1154</v>
      </c>
      <c r="D29" s="63" t="s">
        <v>1384</v>
      </c>
      <c r="E29" s="63" t="s">
        <v>869</v>
      </c>
      <c r="F29" s="63"/>
      <c r="G29" s="63" t="s">
        <v>27</v>
      </c>
      <c r="H29" s="63" t="b">
        <v>0</v>
      </c>
      <c r="I29" s="63" t="b">
        <v>0</v>
      </c>
      <c r="J29" s="63" t="b">
        <v>0</v>
      </c>
    </row>
    <row r="30" spans="1:10" x14ac:dyDescent="0.2">
      <c r="A30" s="112">
        <v>30</v>
      </c>
      <c r="B30" s="63" t="s">
        <v>1149</v>
      </c>
      <c r="C30" s="63" t="s">
        <v>1156</v>
      </c>
      <c r="D30" s="63" t="s">
        <v>1729</v>
      </c>
      <c r="E30" s="63" t="s">
        <v>869</v>
      </c>
      <c r="F30" s="63"/>
      <c r="G30" s="63" t="s">
        <v>27</v>
      </c>
      <c r="H30" s="63" t="b">
        <v>0</v>
      </c>
      <c r="I30" s="63" t="b">
        <v>0</v>
      </c>
      <c r="J30" s="63" t="b">
        <v>0</v>
      </c>
    </row>
    <row r="31" spans="1:10" x14ac:dyDescent="0.2">
      <c r="A31" s="112">
        <v>28</v>
      </c>
      <c r="B31" s="63" t="s">
        <v>1149</v>
      </c>
      <c r="C31" s="63" t="s">
        <v>1190</v>
      </c>
      <c r="D31" s="63" t="s">
        <v>1382</v>
      </c>
      <c r="E31" s="63" t="s">
        <v>865</v>
      </c>
      <c r="F31" s="63">
        <v>11</v>
      </c>
      <c r="G31" s="63"/>
      <c r="H31" s="63" t="b">
        <v>1</v>
      </c>
      <c r="I31" s="63" t="b">
        <v>0</v>
      </c>
      <c r="J31" s="63" t="b">
        <v>0</v>
      </c>
    </row>
    <row r="32" spans="1:10" x14ac:dyDescent="0.2">
      <c r="A32" s="112">
        <v>36</v>
      </c>
      <c r="B32" s="63" t="s">
        <v>1149</v>
      </c>
      <c r="C32" s="63" t="s">
        <v>1465</v>
      </c>
      <c r="D32" s="63" t="s">
        <v>1732</v>
      </c>
      <c r="E32" s="63" t="s">
        <v>865</v>
      </c>
      <c r="F32" s="63">
        <v>11</v>
      </c>
      <c r="G32" s="63" t="s">
        <v>27</v>
      </c>
      <c r="H32" s="63" t="b">
        <v>0</v>
      </c>
      <c r="I32" s="63" t="b">
        <v>0</v>
      </c>
      <c r="J32" s="63" t="b">
        <v>0</v>
      </c>
    </row>
    <row r="33" spans="1:10" x14ac:dyDescent="0.2">
      <c r="A33" s="112">
        <v>32</v>
      </c>
      <c r="B33" s="63" t="s">
        <v>1149</v>
      </c>
      <c r="C33" s="63" t="s">
        <v>1155</v>
      </c>
      <c r="D33" s="63" t="s">
        <v>1385</v>
      </c>
      <c r="E33" s="63" t="s">
        <v>869</v>
      </c>
      <c r="F33" s="63"/>
      <c r="G33" s="63" t="s">
        <v>27</v>
      </c>
      <c r="H33" s="63" t="b">
        <v>0</v>
      </c>
      <c r="I33" s="63" t="b">
        <v>0</v>
      </c>
      <c r="J33" s="63" t="b">
        <v>0</v>
      </c>
    </row>
    <row r="34" spans="1:10" x14ac:dyDescent="0.2">
      <c r="A34" s="112">
        <v>34</v>
      </c>
      <c r="B34" s="63" t="s">
        <v>1149</v>
      </c>
      <c r="C34" s="63" t="s">
        <v>930</v>
      </c>
      <c r="D34" s="63" t="s">
        <v>1730</v>
      </c>
      <c r="E34" s="63" t="s">
        <v>873</v>
      </c>
      <c r="F34" s="63" t="s">
        <v>871</v>
      </c>
      <c r="G34" s="63">
        <v>0</v>
      </c>
      <c r="H34" s="63" t="b">
        <v>1</v>
      </c>
      <c r="I34" s="63" t="b">
        <v>0</v>
      </c>
      <c r="J34" s="63" t="b">
        <v>0</v>
      </c>
    </row>
    <row r="35" spans="1:10" x14ac:dyDescent="0.2">
      <c r="A35" s="112">
        <v>33</v>
      </c>
      <c r="B35" s="63" t="s">
        <v>1149</v>
      </c>
      <c r="C35" s="63" t="s">
        <v>1140</v>
      </c>
      <c r="D35" s="63" t="s">
        <v>1386</v>
      </c>
      <c r="E35" s="63" t="s">
        <v>869</v>
      </c>
      <c r="F35" s="63"/>
      <c r="G35" s="63" t="s">
        <v>27</v>
      </c>
      <c r="H35" s="63" t="b">
        <v>0</v>
      </c>
      <c r="I35" s="63" t="b">
        <v>0</v>
      </c>
      <c r="J35" s="63" t="b">
        <v>0</v>
      </c>
    </row>
    <row r="36" spans="1:10" x14ac:dyDescent="0.2">
      <c r="A36" s="112">
        <v>27</v>
      </c>
      <c r="B36" s="63" t="s">
        <v>1149</v>
      </c>
      <c r="C36" s="63" t="s">
        <v>1</v>
      </c>
      <c r="D36" s="63" t="s">
        <v>1381</v>
      </c>
      <c r="E36" s="63" t="s">
        <v>865</v>
      </c>
      <c r="F36" s="63">
        <v>11</v>
      </c>
      <c r="G36" s="63"/>
      <c r="H36" s="63" t="b">
        <v>1</v>
      </c>
      <c r="I36" s="63" t="b">
        <v>1</v>
      </c>
      <c r="J36" s="63" t="b">
        <v>0</v>
      </c>
    </row>
    <row r="37" spans="1:10" x14ac:dyDescent="0.2">
      <c r="A37" s="112">
        <v>41</v>
      </c>
      <c r="B37" s="63" t="s">
        <v>1149</v>
      </c>
      <c r="C37" s="63" t="s">
        <v>162</v>
      </c>
      <c r="D37" s="63" t="s">
        <v>1737</v>
      </c>
      <c r="E37" s="63" t="s">
        <v>868</v>
      </c>
      <c r="F37" s="63"/>
      <c r="G37" s="63" t="s">
        <v>27</v>
      </c>
      <c r="H37" s="63" t="b">
        <v>0</v>
      </c>
      <c r="I37" s="63" t="b">
        <v>0</v>
      </c>
      <c r="J37" s="63" t="b">
        <v>0</v>
      </c>
    </row>
    <row r="38" spans="1:10" x14ac:dyDescent="0.2">
      <c r="A38" s="112">
        <v>40</v>
      </c>
      <c r="B38" s="63" t="s">
        <v>1149</v>
      </c>
      <c r="C38" s="63" t="s">
        <v>967</v>
      </c>
      <c r="D38" s="63" t="s">
        <v>1736</v>
      </c>
      <c r="E38" s="63" t="s">
        <v>866</v>
      </c>
      <c r="F38" s="63">
        <v>255</v>
      </c>
      <c r="G38" s="63" t="s">
        <v>27</v>
      </c>
      <c r="H38" s="63" t="b">
        <v>0</v>
      </c>
      <c r="I38" s="63" t="b">
        <v>0</v>
      </c>
      <c r="J38" s="63" t="b">
        <v>0</v>
      </c>
    </row>
    <row r="39" spans="1:10" x14ac:dyDescent="0.2">
      <c r="A39" s="112">
        <v>37</v>
      </c>
      <c r="B39" s="63" t="s">
        <v>1149</v>
      </c>
      <c r="C39" s="63" t="s">
        <v>946</v>
      </c>
      <c r="D39" s="63" t="s">
        <v>1733</v>
      </c>
      <c r="E39" s="63" t="s">
        <v>873</v>
      </c>
      <c r="F39" s="63" t="s">
        <v>871</v>
      </c>
      <c r="G39" s="63">
        <v>0</v>
      </c>
      <c r="H39" s="63" t="b">
        <v>0</v>
      </c>
      <c r="I39" s="63" t="b">
        <v>0</v>
      </c>
      <c r="J39" s="63" t="b">
        <v>0</v>
      </c>
    </row>
    <row r="40" spans="1:10" x14ac:dyDescent="0.2">
      <c r="A40" s="112">
        <v>38</v>
      </c>
      <c r="B40" s="63" t="s">
        <v>1149</v>
      </c>
      <c r="C40" s="63" t="s">
        <v>931</v>
      </c>
      <c r="D40" s="63" t="s">
        <v>1734</v>
      </c>
      <c r="E40" s="63" t="s">
        <v>869</v>
      </c>
      <c r="F40" s="63"/>
      <c r="G40" s="63" t="s">
        <v>27</v>
      </c>
      <c r="H40" s="63" t="b">
        <v>0</v>
      </c>
      <c r="I40" s="63" t="b">
        <v>0</v>
      </c>
      <c r="J40" s="63" t="b">
        <v>0</v>
      </c>
    </row>
    <row r="41" spans="1:10" x14ac:dyDescent="0.2">
      <c r="A41" s="112">
        <v>39</v>
      </c>
      <c r="B41" s="63" t="s">
        <v>1149</v>
      </c>
      <c r="C41" s="63" t="s">
        <v>1460</v>
      </c>
      <c r="D41" s="63" t="s">
        <v>1735</v>
      </c>
      <c r="E41" s="63" t="s">
        <v>865</v>
      </c>
      <c r="F41" s="63">
        <v>11</v>
      </c>
      <c r="G41" s="63" t="s">
        <v>27</v>
      </c>
      <c r="H41" s="63" t="b">
        <v>0</v>
      </c>
      <c r="I41" s="63" t="b">
        <v>0</v>
      </c>
      <c r="J41" s="63" t="b">
        <v>0</v>
      </c>
    </row>
    <row r="42" spans="1:10" x14ac:dyDescent="0.2">
      <c r="A42" s="112">
        <v>29</v>
      </c>
      <c r="B42" s="63" t="s">
        <v>1149</v>
      </c>
      <c r="C42" s="63" t="s">
        <v>4</v>
      </c>
      <c r="D42" s="63" t="s">
        <v>1383</v>
      </c>
      <c r="E42" s="63" t="s">
        <v>865</v>
      </c>
      <c r="F42" s="63">
        <v>11</v>
      </c>
      <c r="G42" s="63"/>
      <c r="H42" s="63" t="b">
        <v>1</v>
      </c>
      <c r="I42" s="63" t="b">
        <v>0</v>
      </c>
      <c r="J42" s="63" t="b">
        <v>0</v>
      </c>
    </row>
    <row r="43" spans="1:10" x14ac:dyDescent="0.2">
      <c r="A43" s="112">
        <v>47</v>
      </c>
      <c r="B43" s="63" t="s">
        <v>1483</v>
      </c>
      <c r="C43" s="63" t="s">
        <v>1597</v>
      </c>
      <c r="D43" s="63" t="s">
        <v>1708</v>
      </c>
      <c r="E43" s="63" t="s">
        <v>865</v>
      </c>
      <c r="F43" s="63">
        <v>11</v>
      </c>
      <c r="G43" s="63" t="s">
        <v>27</v>
      </c>
      <c r="H43" s="63" t="b">
        <v>0</v>
      </c>
      <c r="I43" s="63" t="b">
        <v>0</v>
      </c>
      <c r="J43" s="63" t="b">
        <v>0</v>
      </c>
    </row>
    <row r="44" spans="1:10" x14ac:dyDescent="0.2">
      <c r="A44" s="112">
        <v>46</v>
      </c>
      <c r="B44" s="63" t="s">
        <v>1483</v>
      </c>
      <c r="C44" s="63" t="s">
        <v>1502</v>
      </c>
      <c r="D44" s="63" t="s">
        <v>1707</v>
      </c>
      <c r="E44" s="63" t="s">
        <v>865</v>
      </c>
      <c r="F44" s="63">
        <v>11</v>
      </c>
      <c r="G44" s="63"/>
      <c r="H44" s="63" t="b">
        <v>1</v>
      </c>
      <c r="I44" s="63" t="b">
        <v>0</v>
      </c>
      <c r="J44" s="63" t="b">
        <v>0</v>
      </c>
    </row>
    <row r="45" spans="1:10" x14ac:dyDescent="0.2">
      <c r="A45" s="112">
        <v>42</v>
      </c>
      <c r="B45" s="63" t="s">
        <v>1483</v>
      </c>
      <c r="C45" s="63" t="s">
        <v>1</v>
      </c>
      <c r="D45" s="63" t="s">
        <v>1703</v>
      </c>
      <c r="E45" s="63" t="s">
        <v>865</v>
      </c>
      <c r="F45" s="63">
        <v>11</v>
      </c>
      <c r="G45" s="63"/>
      <c r="H45" s="63" t="b">
        <v>1</v>
      </c>
      <c r="I45" s="63" t="b">
        <v>1</v>
      </c>
      <c r="J45" s="63" t="b">
        <v>0</v>
      </c>
    </row>
    <row r="46" spans="1:10" x14ac:dyDescent="0.2">
      <c r="A46" s="112">
        <v>44</v>
      </c>
      <c r="B46" s="63" t="s">
        <v>1483</v>
      </c>
      <c r="C46" s="63" t="s">
        <v>788</v>
      </c>
      <c r="D46" s="63" t="s">
        <v>1705</v>
      </c>
      <c r="E46" s="63" t="s">
        <v>866</v>
      </c>
      <c r="F46" s="63">
        <v>255</v>
      </c>
      <c r="G46" s="63"/>
      <c r="H46" s="63" t="b">
        <v>1</v>
      </c>
      <c r="I46" s="63" t="b">
        <v>0</v>
      </c>
      <c r="J46" s="63" t="b">
        <v>0</v>
      </c>
    </row>
    <row r="47" spans="1:10" x14ac:dyDescent="0.2">
      <c r="A47" s="112">
        <v>45</v>
      </c>
      <c r="B47" s="63" t="s">
        <v>1483</v>
      </c>
      <c r="C47" s="63" t="s">
        <v>964</v>
      </c>
      <c r="D47" s="63" t="s">
        <v>1706</v>
      </c>
      <c r="E47" s="63" t="s">
        <v>866</v>
      </c>
      <c r="F47" s="63">
        <v>255</v>
      </c>
      <c r="G47" s="63" t="s">
        <v>27</v>
      </c>
      <c r="H47" s="63" t="b">
        <v>0</v>
      </c>
      <c r="I47" s="63" t="b">
        <v>0</v>
      </c>
      <c r="J47" s="63" t="b">
        <v>0</v>
      </c>
    </row>
    <row r="48" spans="1:10" x14ac:dyDescent="0.2">
      <c r="A48" s="112">
        <v>43</v>
      </c>
      <c r="B48" s="63" t="s">
        <v>1483</v>
      </c>
      <c r="C48" s="63" t="s">
        <v>4</v>
      </c>
      <c r="D48" s="63" t="s">
        <v>1704</v>
      </c>
      <c r="E48" s="63" t="s">
        <v>865</v>
      </c>
      <c r="F48" s="63">
        <v>11</v>
      </c>
      <c r="G48" s="63"/>
      <c r="H48" s="63" t="b">
        <v>1</v>
      </c>
      <c r="I48" s="63" t="b">
        <v>0</v>
      </c>
      <c r="J48" s="63" t="b">
        <v>0</v>
      </c>
    </row>
    <row r="49" spans="1:10" x14ac:dyDescent="0.2">
      <c r="A49" s="112">
        <v>50</v>
      </c>
      <c r="B49" s="112" t="s">
        <v>1152</v>
      </c>
      <c r="C49" s="112" t="s">
        <v>867</v>
      </c>
      <c r="D49" s="112" t="s">
        <v>1712</v>
      </c>
      <c r="E49" s="112" t="s">
        <v>866</v>
      </c>
      <c r="F49" s="112">
        <v>20</v>
      </c>
      <c r="G49" s="112"/>
      <c r="H49" s="112" t="b">
        <v>1</v>
      </c>
      <c r="I49" s="112" t="b">
        <v>0</v>
      </c>
      <c r="J49" s="112" t="b">
        <v>0</v>
      </c>
    </row>
    <row r="50" spans="1:10" x14ac:dyDescent="0.2">
      <c r="A50" s="112">
        <v>48</v>
      </c>
      <c r="B50" t="s">
        <v>1152</v>
      </c>
      <c r="C50" t="s">
        <v>1</v>
      </c>
      <c r="D50" t="s">
        <v>1710</v>
      </c>
      <c r="E50" t="s">
        <v>865</v>
      </c>
      <c r="F50">
        <v>11</v>
      </c>
      <c r="H50" t="b">
        <v>1</v>
      </c>
      <c r="I50" t="b">
        <v>1</v>
      </c>
      <c r="J50" t="b">
        <v>0</v>
      </c>
    </row>
    <row r="51" spans="1:10" x14ac:dyDescent="0.2">
      <c r="A51" s="112">
        <v>49</v>
      </c>
      <c r="B51" t="s">
        <v>1152</v>
      </c>
      <c r="C51" t="s">
        <v>788</v>
      </c>
      <c r="D51" t="s">
        <v>1711</v>
      </c>
      <c r="E51" t="s">
        <v>866</v>
      </c>
      <c r="F51">
        <v>255</v>
      </c>
      <c r="H51" t="b">
        <v>1</v>
      </c>
      <c r="I51" t="b">
        <v>0</v>
      </c>
      <c r="J51" t="b">
        <v>0</v>
      </c>
    </row>
    <row r="52" spans="1:10" x14ac:dyDescent="0.2">
      <c r="A52" s="112">
        <v>61</v>
      </c>
      <c r="B52" t="s">
        <v>773</v>
      </c>
      <c r="C52" t="s">
        <v>1160</v>
      </c>
      <c r="D52" t="s">
        <v>1726</v>
      </c>
      <c r="E52" t="s">
        <v>866</v>
      </c>
      <c r="F52">
        <v>255</v>
      </c>
      <c r="G52" t="s">
        <v>27</v>
      </c>
      <c r="H52" t="b">
        <v>0</v>
      </c>
      <c r="I52" t="b">
        <v>0</v>
      </c>
      <c r="J52" t="b">
        <v>0</v>
      </c>
    </row>
    <row r="53" spans="1:10" x14ac:dyDescent="0.2">
      <c r="A53" s="112">
        <v>58</v>
      </c>
      <c r="B53" t="s">
        <v>773</v>
      </c>
      <c r="C53" t="s">
        <v>1157</v>
      </c>
      <c r="D53" t="s">
        <v>1723</v>
      </c>
      <c r="E53" t="s">
        <v>866</v>
      </c>
      <c r="F53">
        <v>255</v>
      </c>
      <c r="G53" t="s">
        <v>27</v>
      </c>
      <c r="H53" t="b">
        <v>0</v>
      </c>
      <c r="I53" t="b">
        <v>0</v>
      </c>
      <c r="J53" t="b">
        <v>0</v>
      </c>
    </row>
    <row r="54" spans="1:10" x14ac:dyDescent="0.2">
      <c r="A54" s="112">
        <v>60</v>
      </c>
      <c r="B54" t="s">
        <v>773</v>
      </c>
      <c r="C54" t="s">
        <v>1159</v>
      </c>
      <c r="D54" t="s">
        <v>1725</v>
      </c>
      <c r="E54" t="s">
        <v>866</v>
      </c>
      <c r="F54">
        <v>255</v>
      </c>
      <c r="G54" t="s">
        <v>27</v>
      </c>
      <c r="H54" t="b">
        <v>0</v>
      </c>
      <c r="I54" t="b">
        <v>0</v>
      </c>
      <c r="J54" t="b">
        <v>0</v>
      </c>
    </row>
    <row r="55" spans="1:10" x14ac:dyDescent="0.2">
      <c r="A55" s="112">
        <v>54</v>
      </c>
      <c r="B55" t="s">
        <v>773</v>
      </c>
      <c r="C55" t="s">
        <v>1575</v>
      </c>
      <c r="D55" t="s">
        <v>1719</v>
      </c>
      <c r="E55" t="s">
        <v>865</v>
      </c>
      <c r="F55">
        <v>11</v>
      </c>
      <c r="H55" t="b">
        <v>1</v>
      </c>
      <c r="I55" t="b">
        <v>0</v>
      </c>
      <c r="J55" t="b">
        <v>0</v>
      </c>
    </row>
    <row r="56" spans="1:10" x14ac:dyDescent="0.2">
      <c r="A56" s="112">
        <v>55</v>
      </c>
      <c r="B56" t="s">
        <v>773</v>
      </c>
      <c r="C56" t="s">
        <v>1432</v>
      </c>
      <c r="D56" t="s">
        <v>1720</v>
      </c>
      <c r="E56" t="s">
        <v>865</v>
      </c>
      <c r="F56">
        <v>11</v>
      </c>
      <c r="G56" t="s">
        <v>27</v>
      </c>
      <c r="H56" t="b">
        <v>0</v>
      </c>
      <c r="I56" t="b">
        <v>0</v>
      </c>
      <c r="J56" t="b">
        <v>0</v>
      </c>
    </row>
    <row r="57" spans="1:10" x14ac:dyDescent="0.2">
      <c r="A57" s="112">
        <v>59</v>
      </c>
      <c r="B57" t="s">
        <v>773</v>
      </c>
      <c r="C57" t="s">
        <v>1158</v>
      </c>
      <c r="D57" t="s">
        <v>1724</v>
      </c>
      <c r="E57" t="s">
        <v>866</v>
      </c>
      <c r="F57">
        <v>255</v>
      </c>
      <c r="G57" t="s">
        <v>27</v>
      </c>
      <c r="H57" t="b">
        <v>0</v>
      </c>
      <c r="I57" t="b">
        <v>0</v>
      </c>
      <c r="J57" t="b">
        <v>0</v>
      </c>
    </row>
    <row r="58" spans="1:10" x14ac:dyDescent="0.2">
      <c r="A58" s="112">
        <v>62</v>
      </c>
      <c r="B58" t="s">
        <v>773</v>
      </c>
      <c r="C58" t="s">
        <v>3</v>
      </c>
      <c r="D58" t="s">
        <v>1727</v>
      </c>
      <c r="E58" t="s">
        <v>868</v>
      </c>
      <c r="G58" t="s">
        <v>27</v>
      </c>
      <c r="H58" t="b">
        <v>0</v>
      </c>
      <c r="I58" t="b">
        <v>0</v>
      </c>
      <c r="J58" t="b">
        <v>0</v>
      </c>
    </row>
    <row r="59" spans="1:10" x14ac:dyDescent="0.2">
      <c r="A59" s="112">
        <v>56</v>
      </c>
      <c r="B59" s="112" t="s">
        <v>773</v>
      </c>
      <c r="C59" s="112" t="s">
        <v>870</v>
      </c>
      <c r="D59" s="112" t="s">
        <v>1721</v>
      </c>
      <c r="E59" s="112" t="s">
        <v>869</v>
      </c>
      <c r="F59" s="112"/>
      <c r="G59" s="112" t="s">
        <v>27</v>
      </c>
      <c r="H59" s="112" t="b">
        <v>0</v>
      </c>
      <c r="I59" s="112" t="b">
        <v>0</v>
      </c>
      <c r="J59" s="112" t="b">
        <v>0</v>
      </c>
    </row>
    <row r="60" spans="1:10" x14ac:dyDescent="0.2">
      <c r="A60" s="112">
        <v>57</v>
      </c>
      <c r="B60" s="112" t="s">
        <v>773</v>
      </c>
      <c r="C60" s="112" t="s">
        <v>1549</v>
      </c>
      <c r="D60" s="112" t="s">
        <v>1722</v>
      </c>
      <c r="E60" s="112" t="s">
        <v>865</v>
      </c>
      <c r="F60" s="112">
        <v>11</v>
      </c>
      <c r="G60" s="112"/>
      <c r="H60" s="112" t="b">
        <v>1</v>
      </c>
      <c r="I60" s="112" t="b">
        <v>0</v>
      </c>
      <c r="J60" s="112" t="b">
        <v>0</v>
      </c>
    </row>
    <row r="61" spans="1:10" x14ac:dyDescent="0.2">
      <c r="A61" s="112">
        <v>51</v>
      </c>
      <c r="B61" s="112" t="s">
        <v>773</v>
      </c>
      <c r="C61" s="112" t="s">
        <v>1</v>
      </c>
      <c r="D61" s="112" t="s">
        <v>1716</v>
      </c>
      <c r="E61" s="112" t="s">
        <v>865</v>
      </c>
      <c r="F61" s="112">
        <v>11</v>
      </c>
      <c r="G61" s="112"/>
      <c r="H61" s="112" t="b">
        <v>1</v>
      </c>
      <c r="I61" s="112" t="b">
        <v>1</v>
      </c>
      <c r="J61" s="112" t="b">
        <v>0</v>
      </c>
    </row>
    <row r="62" spans="1:10" x14ac:dyDescent="0.2">
      <c r="A62" s="112">
        <v>63</v>
      </c>
      <c r="B62" s="112" t="s">
        <v>773</v>
      </c>
      <c r="C62" s="112" t="s">
        <v>162</v>
      </c>
      <c r="D62" s="112" t="s">
        <v>1728</v>
      </c>
      <c r="E62" s="112" t="s">
        <v>868</v>
      </c>
      <c r="F62" s="112"/>
      <c r="G62" s="112" t="s">
        <v>27</v>
      </c>
      <c r="H62" s="112" t="b">
        <v>0</v>
      </c>
      <c r="I62" s="112" t="b">
        <v>0</v>
      </c>
      <c r="J62" s="112" t="b">
        <v>0</v>
      </c>
    </row>
    <row r="63" spans="1:10" x14ac:dyDescent="0.2">
      <c r="A63" s="112">
        <v>52</v>
      </c>
      <c r="B63" s="112" t="s">
        <v>773</v>
      </c>
      <c r="C63" s="112" t="s">
        <v>788</v>
      </c>
      <c r="D63" s="112" t="s">
        <v>1717</v>
      </c>
      <c r="E63" s="112" t="s">
        <v>866</v>
      </c>
      <c r="F63" s="112">
        <v>255</v>
      </c>
      <c r="G63" s="112"/>
      <c r="H63" s="112" t="b">
        <v>1</v>
      </c>
      <c r="I63" s="112" t="b">
        <v>0</v>
      </c>
      <c r="J63" s="112" t="b">
        <v>0</v>
      </c>
    </row>
    <row r="64" spans="1:10" x14ac:dyDescent="0.2">
      <c r="A64" s="112">
        <v>53</v>
      </c>
      <c r="B64" t="s">
        <v>773</v>
      </c>
      <c r="C64" t="s">
        <v>4</v>
      </c>
      <c r="D64" t="s">
        <v>1718</v>
      </c>
      <c r="E64" t="s">
        <v>865</v>
      </c>
      <c r="F64">
        <v>11</v>
      </c>
      <c r="H64" t="b">
        <v>1</v>
      </c>
      <c r="I64" t="b">
        <v>0</v>
      </c>
      <c r="J64" t="b">
        <v>0</v>
      </c>
    </row>
    <row r="65" spans="1:10" x14ac:dyDescent="0.2">
      <c r="A65" s="112">
        <v>66</v>
      </c>
      <c r="B65" s="63" t="s">
        <v>1462</v>
      </c>
      <c r="C65" s="63" t="s">
        <v>867</v>
      </c>
      <c r="D65" s="63" t="s">
        <v>1631</v>
      </c>
      <c r="E65" s="63" t="s">
        <v>866</v>
      </c>
      <c r="F65" s="63">
        <v>20</v>
      </c>
      <c r="G65" s="63"/>
      <c r="H65" s="63" t="b">
        <v>1</v>
      </c>
      <c r="I65" s="63" t="b">
        <v>0</v>
      </c>
      <c r="J65" s="63" t="b">
        <v>0</v>
      </c>
    </row>
    <row r="66" spans="1:10" x14ac:dyDescent="0.2">
      <c r="A66" s="112">
        <v>64</v>
      </c>
      <c r="B66" s="63" t="s">
        <v>1462</v>
      </c>
      <c r="C66" s="63" t="s">
        <v>1</v>
      </c>
      <c r="D66" s="63" t="s">
        <v>1629</v>
      </c>
      <c r="E66" s="63" t="s">
        <v>865</v>
      </c>
      <c r="F66" s="63">
        <v>11</v>
      </c>
      <c r="G66" s="63"/>
      <c r="H66" s="63" t="b">
        <v>1</v>
      </c>
      <c r="I66" s="63" t="b">
        <v>1</v>
      </c>
      <c r="J66" s="63" t="b">
        <v>0</v>
      </c>
    </row>
    <row r="67" spans="1:10" x14ac:dyDescent="0.2">
      <c r="A67" s="112">
        <v>65</v>
      </c>
      <c r="B67" s="63" t="s">
        <v>1462</v>
      </c>
      <c r="C67" s="63" t="s">
        <v>788</v>
      </c>
      <c r="D67" s="63" t="s">
        <v>1630</v>
      </c>
      <c r="E67" s="63" t="s">
        <v>866</v>
      </c>
      <c r="F67" s="63">
        <v>255</v>
      </c>
      <c r="G67" s="63"/>
      <c r="H67" s="63" t="b">
        <v>1</v>
      </c>
      <c r="I67" s="63" t="b">
        <v>0</v>
      </c>
      <c r="J67" s="63" t="b">
        <v>0</v>
      </c>
    </row>
    <row r="68" spans="1:10" x14ac:dyDescent="0.2">
      <c r="A68" s="112">
        <v>73</v>
      </c>
      <c r="B68" s="63" t="s">
        <v>1007</v>
      </c>
      <c r="C68" s="63" t="s">
        <v>1459</v>
      </c>
      <c r="D68" s="63" t="s">
        <v>1642</v>
      </c>
      <c r="E68" s="63" t="s">
        <v>873</v>
      </c>
      <c r="F68" s="63" t="s">
        <v>871</v>
      </c>
      <c r="G68" s="63">
        <v>0</v>
      </c>
      <c r="H68" s="63" t="b">
        <v>0</v>
      </c>
      <c r="I68" s="63" t="b">
        <v>0</v>
      </c>
      <c r="J68" s="63" t="b">
        <v>0</v>
      </c>
    </row>
    <row r="69" spans="1:10" x14ac:dyDescent="0.2">
      <c r="A69" s="112">
        <v>68</v>
      </c>
      <c r="B69" s="63" t="s">
        <v>1007</v>
      </c>
      <c r="C69" s="63" t="s">
        <v>926</v>
      </c>
      <c r="D69" s="63" t="s">
        <v>1292</v>
      </c>
      <c r="E69" s="63" t="s">
        <v>865</v>
      </c>
      <c r="F69" s="63">
        <v>11</v>
      </c>
      <c r="G69" s="63"/>
      <c r="H69" s="63" t="b">
        <v>1</v>
      </c>
      <c r="I69" s="63" t="b">
        <v>0</v>
      </c>
      <c r="J69" s="63" t="b">
        <v>0</v>
      </c>
    </row>
    <row r="70" spans="1:10" x14ac:dyDescent="0.2">
      <c r="A70" s="112">
        <v>74</v>
      </c>
      <c r="B70" s="63" t="s">
        <v>1007</v>
      </c>
      <c r="C70" s="63" t="s">
        <v>1464</v>
      </c>
      <c r="D70" s="63" t="s">
        <v>1643</v>
      </c>
      <c r="E70" s="63" t="s">
        <v>865</v>
      </c>
      <c r="F70" s="63">
        <v>11</v>
      </c>
      <c r="G70" s="63" t="s">
        <v>27</v>
      </c>
      <c r="H70" s="63" t="b">
        <v>0</v>
      </c>
      <c r="I70" s="63" t="b">
        <v>0</v>
      </c>
      <c r="J70" s="63" t="b">
        <v>0</v>
      </c>
    </row>
    <row r="71" spans="1:10" x14ac:dyDescent="0.2">
      <c r="A71" s="112">
        <v>72</v>
      </c>
      <c r="B71" s="63" t="s">
        <v>1007</v>
      </c>
      <c r="C71" s="63" t="s">
        <v>930</v>
      </c>
      <c r="D71" s="63" t="s">
        <v>1641</v>
      </c>
      <c r="E71" s="63" t="s">
        <v>873</v>
      </c>
      <c r="F71" s="63" t="s">
        <v>871</v>
      </c>
      <c r="G71" s="63">
        <v>0</v>
      </c>
      <c r="H71" s="63" t="b">
        <v>1</v>
      </c>
      <c r="I71" s="63" t="b">
        <v>0</v>
      </c>
      <c r="J71" s="63" t="b">
        <v>0</v>
      </c>
    </row>
    <row r="72" spans="1:10" x14ac:dyDescent="0.2">
      <c r="A72" s="112">
        <v>71</v>
      </c>
      <c r="B72" s="63" t="s">
        <v>1007</v>
      </c>
      <c r="C72" s="63" t="s">
        <v>1140</v>
      </c>
      <c r="D72" s="63" t="s">
        <v>1640</v>
      </c>
      <c r="E72" s="63" t="s">
        <v>869</v>
      </c>
      <c r="F72" s="63"/>
      <c r="G72" s="63" t="s">
        <v>27</v>
      </c>
      <c r="H72" s="63" t="b">
        <v>0</v>
      </c>
      <c r="I72" s="63" t="b">
        <v>0</v>
      </c>
      <c r="J72" s="63" t="b">
        <v>0</v>
      </c>
    </row>
    <row r="73" spans="1:10" x14ac:dyDescent="0.2">
      <c r="A73" s="112">
        <v>67</v>
      </c>
      <c r="B73" s="63" t="s">
        <v>1007</v>
      </c>
      <c r="C73" s="63" t="s">
        <v>1</v>
      </c>
      <c r="D73" s="63" t="s">
        <v>1291</v>
      </c>
      <c r="E73" s="63" t="s">
        <v>865</v>
      </c>
      <c r="F73" s="63">
        <v>11</v>
      </c>
      <c r="G73" s="63"/>
      <c r="H73" s="63" t="b">
        <v>1</v>
      </c>
      <c r="I73" s="63" t="b">
        <v>1</v>
      </c>
      <c r="J73" s="63" t="b">
        <v>0</v>
      </c>
    </row>
    <row r="74" spans="1:10" x14ac:dyDescent="0.2">
      <c r="A74" s="112">
        <v>79</v>
      </c>
      <c r="B74" s="63" t="s">
        <v>1007</v>
      </c>
      <c r="C74" s="63" t="s">
        <v>162</v>
      </c>
      <c r="D74" s="63" t="s">
        <v>1648</v>
      </c>
      <c r="E74" s="63" t="s">
        <v>868</v>
      </c>
      <c r="F74" s="63"/>
      <c r="G74" s="63" t="s">
        <v>27</v>
      </c>
      <c r="H74" s="63" t="b">
        <v>0</v>
      </c>
      <c r="I74" s="63" t="b">
        <v>0</v>
      </c>
      <c r="J74" s="63" t="b">
        <v>0</v>
      </c>
    </row>
    <row r="75" spans="1:10" x14ac:dyDescent="0.2">
      <c r="A75" s="112">
        <v>78</v>
      </c>
      <c r="B75" s="63" t="s">
        <v>1007</v>
      </c>
      <c r="C75" s="63" t="s">
        <v>967</v>
      </c>
      <c r="D75" s="63" t="s">
        <v>1647</v>
      </c>
      <c r="E75" s="63" t="s">
        <v>866</v>
      </c>
      <c r="F75" s="63">
        <v>255</v>
      </c>
      <c r="G75" s="63" t="s">
        <v>27</v>
      </c>
      <c r="H75" s="63" t="b">
        <v>0</v>
      </c>
      <c r="I75" s="63" t="b">
        <v>0</v>
      </c>
      <c r="J75" s="63" t="b">
        <v>0</v>
      </c>
    </row>
    <row r="76" spans="1:10" x14ac:dyDescent="0.2">
      <c r="A76" s="112">
        <v>75</v>
      </c>
      <c r="B76" s="63" t="s">
        <v>1007</v>
      </c>
      <c r="C76" s="63" t="s">
        <v>946</v>
      </c>
      <c r="D76" s="63" t="s">
        <v>1644</v>
      </c>
      <c r="E76" s="63" t="s">
        <v>873</v>
      </c>
      <c r="F76" s="63" t="s">
        <v>871</v>
      </c>
      <c r="G76" s="63">
        <v>0</v>
      </c>
      <c r="H76" s="63" t="b">
        <v>0</v>
      </c>
      <c r="I76" s="63" t="b">
        <v>0</v>
      </c>
      <c r="J76" s="63" t="b">
        <v>0</v>
      </c>
    </row>
    <row r="77" spans="1:10" x14ac:dyDescent="0.2">
      <c r="A77" s="112">
        <v>76</v>
      </c>
      <c r="B77" s="63" t="s">
        <v>1007</v>
      </c>
      <c r="C77" s="63" t="s">
        <v>931</v>
      </c>
      <c r="D77" s="63" t="s">
        <v>1645</v>
      </c>
      <c r="E77" s="63" t="s">
        <v>869</v>
      </c>
      <c r="F77" s="63"/>
      <c r="G77" s="63" t="s">
        <v>27</v>
      </c>
      <c r="H77" s="63" t="b">
        <v>0</v>
      </c>
      <c r="I77" s="63" t="b">
        <v>0</v>
      </c>
      <c r="J77" s="63" t="b">
        <v>0</v>
      </c>
    </row>
    <row r="78" spans="1:10" x14ac:dyDescent="0.2">
      <c r="A78" s="112">
        <v>70</v>
      </c>
      <c r="B78" s="63" t="s">
        <v>1007</v>
      </c>
      <c r="C78" s="63" t="s">
        <v>929</v>
      </c>
      <c r="D78" s="63" t="s">
        <v>1295</v>
      </c>
      <c r="E78" s="63" t="s">
        <v>869</v>
      </c>
      <c r="F78" s="63"/>
      <c r="G78" s="63"/>
      <c r="H78" s="63" t="b">
        <v>1</v>
      </c>
      <c r="I78" s="63" t="b">
        <v>0</v>
      </c>
      <c r="J78" s="63" t="b">
        <v>0</v>
      </c>
    </row>
    <row r="79" spans="1:10" x14ac:dyDescent="0.2">
      <c r="A79" s="112">
        <v>77</v>
      </c>
      <c r="B79" s="63" t="s">
        <v>1007</v>
      </c>
      <c r="C79" s="63" t="s">
        <v>1460</v>
      </c>
      <c r="D79" s="63" t="s">
        <v>1646</v>
      </c>
      <c r="E79" s="63" t="s">
        <v>865</v>
      </c>
      <c r="F79" s="63">
        <v>11</v>
      </c>
      <c r="G79" s="63" t="s">
        <v>27</v>
      </c>
      <c r="H79" s="63" t="b">
        <v>0</v>
      </c>
      <c r="I79" s="63" t="b">
        <v>0</v>
      </c>
      <c r="J79" s="63" t="b">
        <v>0</v>
      </c>
    </row>
    <row r="80" spans="1:10" x14ac:dyDescent="0.2">
      <c r="A80" s="112">
        <v>69</v>
      </c>
      <c r="B80" s="63" t="s">
        <v>1007</v>
      </c>
      <c r="C80" s="63" t="s">
        <v>4</v>
      </c>
      <c r="D80" s="63" t="s">
        <v>1294</v>
      </c>
      <c r="E80" s="63" t="s">
        <v>865</v>
      </c>
      <c r="F80" s="63">
        <v>11</v>
      </c>
      <c r="G80" s="63"/>
      <c r="H80" s="63" t="b">
        <v>1</v>
      </c>
      <c r="I80" s="63" t="b">
        <v>0</v>
      </c>
      <c r="J80" s="63" t="b">
        <v>0</v>
      </c>
    </row>
    <row r="81" spans="1:10" x14ac:dyDescent="0.2">
      <c r="A81" s="112">
        <v>84</v>
      </c>
      <c r="B81" s="63" t="s">
        <v>1479</v>
      </c>
      <c r="C81" s="63" t="s">
        <v>1502</v>
      </c>
      <c r="D81" s="63" t="s">
        <v>1625</v>
      </c>
      <c r="E81" s="63" t="s">
        <v>865</v>
      </c>
      <c r="F81" s="63">
        <v>11</v>
      </c>
      <c r="G81" s="63"/>
      <c r="H81" s="63" t="b">
        <v>1</v>
      </c>
      <c r="I81" s="63" t="b">
        <v>0</v>
      </c>
      <c r="J81" s="63" t="b">
        <v>0</v>
      </c>
    </row>
    <row r="82" spans="1:10" x14ac:dyDescent="0.2">
      <c r="A82" s="112">
        <v>80</v>
      </c>
      <c r="B82" s="63" t="s">
        <v>1479</v>
      </c>
      <c r="C82" s="63" t="s">
        <v>1</v>
      </c>
      <c r="D82" s="63" t="s">
        <v>1621</v>
      </c>
      <c r="E82" s="63" t="s">
        <v>865</v>
      </c>
      <c r="F82" s="63">
        <v>11</v>
      </c>
      <c r="G82" s="63"/>
      <c r="H82" s="63" t="b">
        <v>1</v>
      </c>
      <c r="I82" s="63" t="b">
        <v>1</v>
      </c>
      <c r="J82" s="63" t="b">
        <v>0</v>
      </c>
    </row>
    <row r="83" spans="1:10" x14ac:dyDescent="0.2">
      <c r="A83" s="112">
        <v>82</v>
      </c>
      <c r="B83" s="63" t="s">
        <v>1479</v>
      </c>
      <c r="C83" s="63" t="s">
        <v>788</v>
      </c>
      <c r="D83" s="63" t="s">
        <v>1623</v>
      </c>
      <c r="E83" s="63" t="s">
        <v>866</v>
      </c>
      <c r="F83" s="63">
        <v>255</v>
      </c>
      <c r="G83" s="63"/>
      <c r="H83" s="63" t="b">
        <v>1</v>
      </c>
      <c r="I83" s="63" t="b">
        <v>0</v>
      </c>
      <c r="J83" s="63" t="b">
        <v>0</v>
      </c>
    </row>
    <row r="84" spans="1:10" x14ac:dyDescent="0.2">
      <c r="A84" s="112">
        <v>83</v>
      </c>
      <c r="B84" s="63" t="s">
        <v>1479</v>
      </c>
      <c r="C84" s="63" t="s">
        <v>1387</v>
      </c>
      <c r="D84" s="63" t="s">
        <v>1624</v>
      </c>
      <c r="E84" s="63" t="s">
        <v>865</v>
      </c>
      <c r="F84" s="63">
        <v>11</v>
      </c>
      <c r="G84" s="63"/>
      <c r="H84" s="63" t="b">
        <v>1</v>
      </c>
      <c r="I84" s="63" t="b">
        <v>0</v>
      </c>
      <c r="J84" s="63" t="b">
        <v>0</v>
      </c>
    </row>
    <row r="85" spans="1:10" x14ac:dyDescent="0.2">
      <c r="A85" s="112">
        <v>81</v>
      </c>
      <c r="B85" s="63" t="s">
        <v>1479</v>
      </c>
      <c r="C85" s="63" t="s">
        <v>4</v>
      </c>
      <c r="D85" s="63" t="s">
        <v>1622</v>
      </c>
      <c r="E85" s="63" t="s">
        <v>865</v>
      </c>
      <c r="F85" s="63">
        <v>11</v>
      </c>
      <c r="G85" s="63"/>
      <c r="H85" s="63" t="b">
        <v>1</v>
      </c>
      <c r="I85" s="63" t="b">
        <v>0</v>
      </c>
      <c r="J85" s="63" t="b">
        <v>0</v>
      </c>
    </row>
    <row r="86" spans="1:10" x14ac:dyDescent="0.2">
      <c r="A86" s="112">
        <v>87</v>
      </c>
      <c r="B86" t="s">
        <v>1040</v>
      </c>
      <c r="C86" t="s">
        <v>867</v>
      </c>
      <c r="D86" t="s">
        <v>1628</v>
      </c>
      <c r="E86" t="s">
        <v>866</v>
      </c>
      <c r="F86">
        <v>20</v>
      </c>
      <c r="H86" t="b">
        <v>1</v>
      </c>
      <c r="I86" t="b">
        <v>0</v>
      </c>
      <c r="J86" t="b">
        <v>0</v>
      </c>
    </row>
    <row r="87" spans="1:10" x14ac:dyDescent="0.2">
      <c r="A87" s="112">
        <v>85</v>
      </c>
      <c r="B87" t="s">
        <v>1040</v>
      </c>
      <c r="C87" t="s">
        <v>1</v>
      </c>
      <c r="D87" t="s">
        <v>1626</v>
      </c>
      <c r="E87" t="s">
        <v>865</v>
      </c>
      <c r="F87">
        <v>11</v>
      </c>
      <c r="H87" t="b">
        <v>1</v>
      </c>
      <c r="I87" t="b">
        <v>1</v>
      </c>
      <c r="J87" t="b">
        <v>0</v>
      </c>
    </row>
    <row r="88" spans="1:10" x14ac:dyDescent="0.2">
      <c r="A88" s="112">
        <v>86</v>
      </c>
      <c r="B88" t="s">
        <v>1040</v>
      </c>
      <c r="C88" t="s">
        <v>788</v>
      </c>
      <c r="D88" t="s">
        <v>1627</v>
      </c>
      <c r="E88" t="s">
        <v>866</v>
      </c>
      <c r="F88">
        <v>255</v>
      </c>
      <c r="H88" t="b">
        <v>1</v>
      </c>
      <c r="I88" t="b">
        <v>0</v>
      </c>
      <c r="J88" t="b">
        <v>0</v>
      </c>
    </row>
    <row r="89" spans="1:10" x14ac:dyDescent="0.2">
      <c r="A89" s="112">
        <v>89</v>
      </c>
      <c r="B89" t="s">
        <v>1008</v>
      </c>
      <c r="C89" t="s">
        <v>926</v>
      </c>
      <c r="D89" t="s">
        <v>1650</v>
      </c>
      <c r="E89" t="s">
        <v>865</v>
      </c>
      <c r="F89">
        <v>11</v>
      </c>
      <c r="H89" t="b">
        <v>1</v>
      </c>
      <c r="I89" t="b">
        <v>0</v>
      </c>
      <c r="J89" t="b">
        <v>0</v>
      </c>
    </row>
    <row r="90" spans="1:10" x14ac:dyDescent="0.2">
      <c r="A90" s="112">
        <v>91</v>
      </c>
      <c r="B90" t="s">
        <v>1008</v>
      </c>
      <c r="C90" t="s">
        <v>870</v>
      </c>
      <c r="D90" t="s">
        <v>1652</v>
      </c>
      <c r="E90" t="s">
        <v>869</v>
      </c>
      <c r="H90" t="b">
        <v>1</v>
      </c>
      <c r="I90" t="b">
        <v>0</v>
      </c>
      <c r="J90" t="b">
        <v>0</v>
      </c>
    </row>
    <row r="91" spans="1:10" x14ac:dyDescent="0.2">
      <c r="A91" s="112">
        <v>88</v>
      </c>
      <c r="B91" t="s">
        <v>1008</v>
      </c>
      <c r="C91" t="s">
        <v>1</v>
      </c>
      <c r="D91" t="s">
        <v>1649</v>
      </c>
      <c r="E91" t="s">
        <v>865</v>
      </c>
      <c r="F91">
        <v>11</v>
      </c>
      <c r="H91" t="b">
        <v>1</v>
      </c>
      <c r="I91" t="b">
        <v>1</v>
      </c>
      <c r="J91" t="b">
        <v>0</v>
      </c>
    </row>
    <row r="92" spans="1:10" x14ac:dyDescent="0.2">
      <c r="A92" s="112">
        <v>96</v>
      </c>
      <c r="B92" t="s">
        <v>1008</v>
      </c>
      <c r="C92" t="s">
        <v>162</v>
      </c>
      <c r="D92" t="s">
        <v>1657</v>
      </c>
      <c r="E92" t="s">
        <v>868</v>
      </c>
      <c r="G92" t="s">
        <v>27</v>
      </c>
      <c r="H92" t="b">
        <v>0</v>
      </c>
      <c r="I92" t="b">
        <v>0</v>
      </c>
      <c r="J92" t="b">
        <v>0</v>
      </c>
    </row>
    <row r="93" spans="1:10" x14ac:dyDescent="0.2">
      <c r="A93" s="112">
        <v>95</v>
      </c>
      <c r="B93" t="s">
        <v>1008</v>
      </c>
      <c r="C93" t="s">
        <v>967</v>
      </c>
      <c r="D93" t="s">
        <v>1656</v>
      </c>
      <c r="E93" t="s">
        <v>866</v>
      </c>
      <c r="F93">
        <v>255</v>
      </c>
      <c r="G93" t="s">
        <v>27</v>
      </c>
      <c r="H93" t="b">
        <v>0</v>
      </c>
      <c r="I93" t="b">
        <v>0</v>
      </c>
      <c r="J93" t="b">
        <v>0</v>
      </c>
    </row>
    <row r="94" spans="1:10" x14ac:dyDescent="0.2">
      <c r="A94" s="112">
        <v>93</v>
      </c>
      <c r="B94" t="s">
        <v>1008</v>
      </c>
      <c r="C94" t="s">
        <v>946</v>
      </c>
      <c r="D94" t="s">
        <v>1654</v>
      </c>
      <c r="E94" t="s">
        <v>873</v>
      </c>
      <c r="F94" t="s">
        <v>871</v>
      </c>
      <c r="G94">
        <v>0</v>
      </c>
      <c r="H94" t="b">
        <v>1</v>
      </c>
      <c r="I94" t="b">
        <v>0</v>
      </c>
      <c r="J94" t="b">
        <v>0</v>
      </c>
    </row>
    <row r="95" spans="1:10" x14ac:dyDescent="0.2">
      <c r="A95" s="112">
        <v>92</v>
      </c>
      <c r="B95" t="s">
        <v>1008</v>
      </c>
      <c r="C95" t="s">
        <v>931</v>
      </c>
      <c r="D95" t="s">
        <v>1653</v>
      </c>
      <c r="E95" t="s">
        <v>869</v>
      </c>
      <c r="H95" t="b">
        <v>1</v>
      </c>
      <c r="I95" t="b">
        <v>0</v>
      </c>
      <c r="J95" t="b">
        <v>0</v>
      </c>
    </row>
    <row r="96" spans="1:10" x14ac:dyDescent="0.2">
      <c r="A96" s="112">
        <v>94</v>
      </c>
      <c r="B96" s="112" t="s">
        <v>1008</v>
      </c>
      <c r="C96" s="112" t="s">
        <v>1460</v>
      </c>
      <c r="D96" s="112" t="s">
        <v>1655</v>
      </c>
      <c r="E96" s="112" t="s">
        <v>865</v>
      </c>
      <c r="F96" s="112">
        <v>11</v>
      </c>
      <c r="G96" s="112" t="s">
        <v>27</v>
      </c>
      <c r="H96" s="112" t="b">
        <v>0</v>
      </c>
      <c r="I96" s="112" t="b">
        <v>0</v>
      </c>
      <c r="J96" s="112" t="b">
        <v>0</v>
      </c>
    </row>
    <row r="97" spans="1:10" x14ac:dyDescent="0.2">
      <c r="A97" s="112">
        <v>90</v>
      </c>
      <c r="B97" s="112" t="s">
        <v>1008</v>
      </c>
      <c r="C97" s="112" t="s">
        <v>4</v>
      </c>
      <c r="D97" s="112" t="s">
        <v>1651</v>
      </c>
      <c r="E97" s="112" t="s">
        <v>865</v>
      </c>
      <c r="F97" s="112">
        <v>11</v>
      </c>
      <c r="G97" s="112"/>
      <c r="H97" s="112" t="b">
        <v>1</v>
      </c>
      <c r="I97" s="112" t="b">
        <v>0</v>
      </c>
      <c r="J97" s="112" t="b">
        <v>0</v>
      </c>
    </row>
    <row r="98" spans="1:10" x14ac:dyDescent="0.2">
      <c r="A98" s="112">
        <v>100</v>
      </c>
      <c r="B98" s="112" t="s">
        <v>1006</v>
      </c>
      <c r="C98" s="112" t="s">
        <v>1547</v>
      </c>
      <c r="D98" s="112" t="s">
        <v>1286</v>
      </c>
      <c r="E98" s="112" t="s">
        <v>865</v>
      </c>
      <c r="F98" s="112">
        <v>11</v>
      </c>
      <c r="G98" s="112"/>
      <c r="H98" s="112" t="b">
        <v>1</v>
      </c>
      <c r="I98" s="112" t="b">
        <v>0</v>
      </c>
      <c r="J98" s="112" t="b">
        <v>0</v>
      </c>
    </row>
    <row r="99" spans="1:10" x14ac:dyDescent="0.2">
      <c r="A99" s="112">
        <v>101</v>
      </c>
      <c r="B99" s="112" t="s">
        <v>1006</v>
      </c>
      <c r="C99" s="112" t="s">
        <v>1588</v>
      </c>
      <c r="D99" s="112" t="s">
        <v>1632</v>
      </c>
      <c r="E99" s="112" t="s">
        <v>865</v>
      </c>
      <c r="F99" s="112">
        <v>11</v>
      </c>
      <c r="G99" s="112"/>
      <c r="H99" s="112" t="b">
        <v>1</v>
      </c>
      <c r="I99" s="112" t="b">
        <v>0</v>
      </c>
      <c r="J99" s="112" t="b">
        <v>0</v>
      </c>
    </row>
    <row r="100" spans="1:10" x14ac:dyDescent="0.2">
      <c r="A100" s="112">
        <v>107</v>
      </c>
      <c r="B100" s="112" t="s">
        <v>1006</v>
      </c>
      <c r="C100" s="112" t="s">
        <v>3</v>
      </c>
      <c r="D100" s="112" t="s">
        <v>1638</v>
      </c>
      <c r="E100" s="112" t="s">
        <v>868</v>
      </c>
      <c r="F100" s="112"/>
      <c r="G100" s="112" t="s">
        <v>27</v>
      </c>
      <c r="H100" s="112" t="b">
        <v>0</v>
      </c>
      <c r="I100" s="112" t="b">
        <v>0</v>
      </c>
      <c r="J100" s="112" t="b">
        <v>0</v>
      </c>
    </row>
    <row r="101" spans="1:10" x14ac:dyDescent="0.2">
      <c r="A101" s="112">
        <v>102</v>
      </c>
      <c r="B101" s="112" t="s">
        <v>1006</v>
      </c>
      <c r="C101" s="112" t="s">
        <v>927</v>
      </c>
      <c r="D101" s="112" t="s">
        <v>1633</v>
      </c>
      <c r="E101" s="112" t="s">
        <v>869</v>
      </c>
      <c r="F101" s="112"/>
      <c r="G101" s="112"/>
      <c r="H101" s="112" t="b">
        <v>1</v>
      </c>
      <c r="I101" s="112" t="b">
        <v>0</v>
      </c>
      <c r="J101" s="112" t="b">
        <v>0</v>
      </c>
    </row>
    <row r="102" spans="1:10" x14ac:dyDescent="0.2">
      <c r="A102" s="112">
        <v>104</v>
      </c>
      <c r="B102" s="112" t="s">
        <v>1006</v>
      </c>
      <c r="C102" s="112" t="s">
        <v>1549</v>
      </c>
      <c r="D102" s="112" t="s">
        <v>1635</v>
      </c>
      <c r="E102" s="112" t="s">
        <v>865</v>
      </c>
      <c r="F102" s="112">
        <v>11</v>
      </c>
      <c r="G102" s="112"/>
      <c r="H102" s="112" t="b">
        <v>1</v>
      </c>
      <c r="I102" s="112" t="b">
        <v>0</v>
      </c>
      <c r="J102" s="112" t="b">
        <v>0</v>
      </c>
    </row>
    <row r="103" spans="1:10" x14ac:dyDescent="0.2">
      <c r="A103" s="112">
        <v>97</v>
      </c>
      <c r="B103" s="112" t="s">
        <v>1006</v>
      </c>
      <c r="C103" s="112" t="s">
        <v>1</v>
      </c>
      <c r="D103" s="112" t="s">
        <v>1283</v>
      </c>
      <c r="E103" s="112" t="s">
        <v>865</v>
      </c>
      <c r="F103" s="112">
        <v>11</v>
      </c>
      <c r="G103" s="112"/>
      <c r="H103" s="112" t="b">
        <v>1</v>
      </c>
      <c r="I103" s="112" t="b">
        <v>1</v>
      </c>
      <c r="J103" s="112" t="b">
        <v>0</v>
      </c>
    </row>
    <row r="104" spans="1:10" x14ac:dyDescent="0.2">
      <c r="A104" s="112">
        <v>103</v>
      </c>
      <c r="B104" s="112" t="s">
        <v>1006</v>
      </c>
      <c r="C104" s="112" t="s">
        <v>928</v>
      </c>
      <c r="D104" s="112" t="s">
        <v>1634</v>
      </c>
      <c r="E104" s="112" t="s">
        <v>869</v>
      </c>
      <c r="F104" s="112"/>
      <c r="G104" s="112" t="s">
        <v>27</v>
      </c>
      <c r="H104" s="112" t="b">
        <v>0</v>
      </c>
      <c r="I104" s="112" t="b">
        <v>0</v>
      </c>
      <c r="J104" s="112" t="b">
        <v>0</v>
      </c>
    </row>
    <row r="105" spans="1:10" x14ac:dyDescent="0.2">
      <c r="A105" s="112">
        <v>108</v>
      </c>
      <c r="B105" s="112" t="s">
        <v>1006</v>
      </c>
      <c r="C105" s="112" t="s">
        <v>162</v>
      </c>
      <c r="D105" s="112" t="s">
        <v>1639</v>
      </c>
      <c r="E105" s="112" t="s">
        <v>868</v>
      </c>
      <c r="F105" s="112"/>
      <c r="G105" s="112" t="s">
        <v>27</v>
      </c>
      <c r="H105" s="112" t="b">
        <v>0</v>
      </c>
      <c r="I105" s="112" t="b">
        <v>0</v>
      </c>
      <c r="J105" s="112" t="b">
        <v>0</v>
      </c>
    </row>
    <row r="106" spans="1:10" x14ac:dyDescent="0.2">
      <c r="A106" s="112">
        <v>98</v>
      </c>
      <c r="B106" s="112" t="s">
        <v>1006</v>
      </c>
      <c r="C106" s="112" t="s">
        <v>788</v>
      </c>
      <c r="D106" s="112" t="s">
        <v>1284</v>
      </c>
      <c r="E106" s="112" t="s">
        <v>866</v>
      </c>
      <c r="F106" s="112">
        <v>255</v>
      </c>
      <c r="G106" s="112"/>
      <c r="H106" s="112" t="b">
        <v>1</v>
      </c>
      <c r="I106" s="112" t="b">
        <v>0</v>
      </c>
      <c r="J106" s="112" t="b">
        <v>0</v>
      </c>
    </row>
    <row r="107" spans="1:10" x14ac:dyDescent="0.2">
      <c r="A107" s="112">
        <v>106</v>
      </c>
      <c r="B107" s="112" t="s">
        <v>1006</v>
      </c>
      <c r="C107" s="112" t="s">
        <v>951</v>
      </c>
      <c r="D107" s="112" t="s">
        <v>1637</v>
      </c>
      <c r="E107" s="112" t="s">
        <v>873</v>
      </c>
      <c r="F107" s="112" t="s">
        <v>871</v>
      </c>
      <c r="G107" s="112">
        <v>0</v>
      </c>
      <c r="H107" s="112" t="b">
        <v>1</v>
      </c>
      <c r="I107" s="112" t="b">
        <v>0</v>
      </c>
      <c r="J107" s="112" t="b">
        <v>0</v>
      </c>
    </row>
    <row r="108" spans="1:10" x14ac:dyDescent="0.2">
      <c r="A108" s="112">
        <v>105</v>
      </c>
      <c r="B108" s="112" t="s">
        <v>1006</v>
      </c>
      <c r="C108" s="112" t="s">
        <v>1458</v>
      </c>
      <c r="D108" s="112" t="s">
        <v>1636</v>
      </c>
      <c r="E108" s="112" t="s">
        <v>866</v>
      </c>
      <c r="F108" s="112">
        <v>255</v>
      </c>
      <c r="G108" s="112" t="s">
        <v>27</v>
      </c>
      <c r="H108" s="112" t="b">
        <v>0</v>
      </c>
      <c r="I108" s="112" t="b">
        <v>0</v>
      </c>
      <c r="J108" s="112" t="b">
        <v>0</v>
      </c>
    </row>
    <row r="109" spans="1:10" x14ac:dyDescent="0.2">
      <c r="A109" s="112">
        <v>99</v>
      </c>
      <c r="B109" t="s">
        <v>1006</v>
      </c>
      <c r="C109" t="s">
        <v>4</v>
      </c>
      <c r="D109" t="s">
        <v>1285</v>
      </c>
      <c r="E109" t="s">
        <v>865</v>
      </c>
      <c r="F109">
        <v>11</v>
      </c>
      <c r="H109" t="b">
        <v>1</v>
      </c>
      <c r="I109" t="b">
        <v>0</v>
      </c>
      <c r="J109" t="b">
        <v>0</v>
      </c>
    </row>
    <row r="110" spans="1:10" x14ac:dyDescent="0.2">
      <c r="A110" s="112">
        <v>110</v>
      </c>
      <c r="B110" t="s">
        <v>1825</v>
      </c>
      <c r="C110" t="s">
        <v>1597</v>
      </c>
      <c r="D110" t="s">
        <v>1231</v>
      </c>
      <c r="E110" t="s">
        <v>865</v>
      </c>
      <c r="F110">
        <v>11</v>
      </c>
      <c r="H110" t="b">
        <v>1</v>
      </c>
      <c r="I110" t="b">
        <v>0</v>
      </c>
      <c r="J110" t="b">
        <v>0</v>
      </c>
    </row>
    <row r="111" spans="1:10" x14ac:dyDescent="0.2">
      <c r="A111" s="112">
        <v>114</v>
      </c>
      <c r="B111" t="s">
        <v>1825</v>
      </c>
      <c r="C111" t="s">
        <v>1430</v>
      </c>
      <c r="D111" t="s">
        <v>1234</v>
      </c>
      <c r="E111" t="s">
        <v>865</v>
      </c>
      <c r="F111">
        <v>11</v>
      </c>
      <c r="G111" t="s">
        <v>27</v>
      </c>
      <c r="H111" t="b">
        <v>0</v>
      </c>
      <c r="I111" t="b">
        <v>0</v>
      </c>
      <c r="J111" t="b">
        <v>0</v>
      </c>
    </row>
    <row r="112" spans="1:10" x14ac:dyDescent="0.2">
      <c r="A112" s="112">
        <v>109</v>
      </c>
      <c r="B112" t="s">
        <v>1825</v>
      </c>
      <c r="C112" t="s">
        <v>1</v>
      </c>
      <c r="D112" t="s">
        <v>1230</v>
      </c>
      <c r="E112" t="s">
        <v>865</v>
      </c>
      <c r="F112">
        <v>11</v>
      </c>
      <c r="H112" t="b">
        <v>1</v>
      </c>
      <c r="I112" t="b">
        <v>1</v>
      </c>
      <c r="J112" t="b">
        <v>0</v>
      </c>
    </row>
    <row r="113" spans="1:10" x14ac:dyDescent="0.2">
      <c r="A113" s="112">
        <v>117</v>
      </c>
      <c r="B113" t="s">
        <v>1825</v>
      </c>
      <c r="C113" t="s">
        <v>162</v>
      </c>
      <c r="D113" t="s">
        <v>1236</v>
      </c>
      <c r="E113" t="s">
        <v>868</v>
      </c>
      <c r="G113" t="s">
        <v>27</v>
      </c>
      <c r="H113" t="b">
        <v>0</v>
      </c>
      <c r="I113" t="b">
        <v>0</v>
      </c>
      <c r="J113" t="b">
        <v>0</v>
      </c>
    </row>
    <row r="114" spans="1:10" x14ac:dyDescent="0.2">
      <c r="A114" s="112">
        <v>116</v>
      </c>
      <c r="B114" t="s">
        <v>1825</v>
      </c>
      <c r="C114" t="s">
        <v>967</v>
      </c>
      <c r="D114" t="s">
        <v>1620</v>
      </c>
      <c r="E114" t="s">
        <v>866</v>
      </c>
      <c r="F114">
        <v>255</v>
      </c>
      <c r="G114" t="s">
        <v>27</v>
      </c>
      <c r="H114" t="b">
        <v>0</v>
      </c>
      <c r="I114" t="b">
        <v>0</v>
      </c>
      <c r="J114" t="b">
        <v>0</v>
      </c>
    </row>
    <row r="115" spans="1:10" x14ac:dyDescent="0.2">
      <c r="A115" s="112">
        <v>113</v>
      </c>
      <c r="B115" t="s">
        <v>1825</v>
      </c>
      <c r="C115" t="s">
        <v>946</v>
      </c>
      <c r="D115" t="s">
        <v>1233</v>
      </c>
      <c r="E115" t="s">
        <v>873</v>
      </c>
      <c r="F115" t="s">
        <v>871</v>
      </c>
      <c r="G115">
        <v>0</v>
      </c>
      <c r="H115" t="b">
        <v>1</v>
      </c>
      <c r="I115" t="b">
        <v>0</v>
      </c>
      <c r="J115" t="b">
        <v>0</v>
      </c>
    </row>
    <row r="116" spans="1:10" x14ac:dyDescent="0.2">
      <c r="A116" s="112">
        <v>112</v>
      </c>
      <c r="B116" t="s">
        <v>1825</v>
      </c>
      <c r="C116" t="s">
        <v>931</v>
      </c>
      <c r="D116" t="s">
        <v>1619</v>
      </c>
      <c r="E116" t="s">
        <v>869</v>
      </c>
      <c r="H116" t="b">
        <v>1</v>
      </c>
      <c r="I116" t="b">
        <v>0</v>
      </c>
      <c r="J116" t="b">
        <v>0</v>
      </c>
    </row>
    <row r="117" spans="1:10" x14ac:dyDescent="0.2">
      <c r="A117" s="112">
        <v>115</v>
      </c>
      <c r="B117" t="s">
        <v>1825</v>
      </c>
      <c r="C117" t="s">
        <v>1460</v>
      </c>
      <c r="D117" t="s">
        <v>1235</v>
      </c>
      <c r="E117" t="s">
        <v>865</v>
      </c>
      <c r="F117">
        <v>11</v>
      </c>
      <c r="G117" t="s">
        <v>27</v>
      </c>
      <c r="H117" t="b">
        <v>0</v>
      </c>
      <c r="I117" t="b">
        <v>0</v>
      </c>
      <c r="J117" t="b">
        <v>0</v>
      </c>
    </row>
    <row r="118" spans="1:10" x14ac:dyDescent="0.2">
      <c r="A118" s="112">
        <v>111</v>
      </c>
      <c r="B118" s="112" t="s">
        <v>1825</v>
      </c>
      <c r="C118" s="112" t="s">
        <v>4</v>
      </c>
      <c r="D118" s="112" t="s">
        <v>1232</v>
      </c>
      <c r="E118" s="112" t="s">
        <v>865</v>
      </c>
      <c r="F118" s="112">
        <v>11</v>
      </c>
      <c r="G118" s="112"/>
      <c r="H118" s="112" t="b">
        <v>1</v>
      </c>
      <c r="I118" s="112" t="b">
        <v>0</v>
      </c>
      <c r="J118" s="112" t="b">
        <v>0</v>
      </c>
    </row>
    <row r="119" spans="1:10" x14ac:dyDescent="0.2">
      <c r="A119" s="112">
        <v>122</v>
      </c>
      <c r="B119" s="63" t="s">
        <v>1594</v>
      </c>
      <c r="C119" s="63" t="s">
        <v>1502</v>
      </c>
      <c r="D119" s="63" t="s">
        <v>1617</v>
      </c>
      <c r="E119" s="63" t="s">
        <v>865</v>
      </c>
      <c r="F119" s="63">
        <v>11</v>
      </c>
      <c r="G119" s="63"/>
      <c r="H119" s="63" t="b">
        <v>1</v>
      </c>
      <c r="I119" s="63" t="b">
        <v>0</v>
      </c>
      <c r="J119" s="63" t="b">
        <v>0</v>
      </c>
    </row>
    <row r="120" spans="1:10" x14ac:dyDescent="0.2">
      <c r="A120" s="112">
        <v>118</v>
      </c>
      <c r="B120" s="63" t="s">
        <v>1594</v>
      </c>
      <c r="C120" s="63" t="s">
        <v>1</v>
      </c>
      <c r="D120" s="63" t="s">
        <v>1613</v>
      </c>
      <c r="E120" s="63" t="s">
        <v>865</v>
      </c>
      <c r="F120" s="63">
        <v>11</v>
      </c>
      <c r="G120" s="63"/>
      <c r="H120" s="63" t="b">
        <v>1</v>
      </c>
      <c r="I120" s="63" t="b">
        <v>1</v>
      </c>
      <c r="J120" s="63" t="b">
        <v>0</v>
      </c>
    </row>
    <row r="121" spans="1:10" x14ac:dyDescent="0.2">
      <c r="A121" s="112">
        <v>120</v>
      </c>
      <c r="B121" s="63" t="s">
        <v>1594</v>
      </c>
      <c r="C121" s="63" t="s">
        <v>788</v>
      </c>
      <c r="D121" s="63" t="s">
        <v>1615</v>
      </c>
      <c r="E121" s="63" t="s">
        <v>866</v>
      </c>
      <c r="F121" s="63">
        <v>255</v>
      </c>
      <c r="G121" s="63"/>
      <c r="H121" s="63" t="b">
        <v>1</v>
      </c>
      <c r="I121" s="63" t="b">
        <v>0</v>
      </c>
      <c r="J121" s="63" t="b">
        <v>0</v>
      </c>
    </row>
    <row r="122" spans="1:10" x14ac:dyDescent="0.2">
      <c r="A122" s="112">
        <v>121</v>
      </c>
      <c r="B122" s="63" t="s">
        <v>1594</v>
      </c>
      <c r="C122" s="63" t="s">
        <v>1387</v>
      </c>
      <c r="D122" s="63" t="s">
        <v>1616</v>
      </c>
      <c r="E122" s="63" t="s">
        <v>865</v>
      </c>
      <c r="F122" s="63">
        <v>11</v>
      </c>
      <c r="G122" s="63"/>
      <c r="H122" s="63" t="b">
        <v>1</v>
      </c>
      <c r="I122" s="63" t="b">
        <v>0</v>
      </c>
      <c r="J122" s="63" t="b">
        <v>0</v>
      </c>
    </row>
    <row r="123" spans="1:10" x14ac:dyDescent="0.2">
      <c r="A123" s="112">
        <v>119</v>
      </c>
      <c r="B123" s="63" t="s">
        <v>1594</v>
      </c>
      <c r="C123" s="63" t="s">
        <v>4</v>
      </c>
      <c r="D123" s="63" t="s">
        <v>1614</v>
      </c>
      <c r="E123" s="63" t="s">
        <v>865</v>
      </c>
      <c r="F123" s="63">
        <v>11</v>
      </c>
      <c r="G123" s="63"/>
      <c r="H123" s="63" t="b">
        <v>1</v>
      </c>
      <c r="I123" s="63" t="b">
        <v>0</v>
      </c>
      <c r="J123" s="63" t="b">
        <v>0</v>
      </c>
    </row>
    <row r="124" spans="1:10" x14ac:dyDescent="0.2">
      <c r="A124" s="112">
        <v>125</v>
      </c>
      <c r="B124" s="63" t="s">
        <v>1431</v>
      </c>
      <c r="C124" s="63" t="s">
        <v>867</v>
      </c>
      <c r="D124" s="63" t="s">
        <v>1516</v>
      </c>
      <c r="E124" s="63" t="s">
        <v>866</v>
      </c>
      <c r="F124" s="63">
        <v>20</v>
      </c>
      <c r="G124" s="63"/>
      <c r="H124" s="63" t="b">
        <v>1</v>
      </c>
      <c r="I124" s="63" t="b">
        <v>0</v>
      </c>
      <c r="J124" s="63" t="b">
        <v>0</v>
      </c>
    </row>
    <row r="125" spans="1:10" x14ac:dyDescent="0.2">
      <c r="A125" s="112">
        <v>123</v>
      </c>
      <c r="B125" s="63" t="s">
        <v>1431</v>
      </c>
      <c r="C125" s="63" t="s">
        <v>1</v>
      </c>
      <c r="D125" s="63" t="s">
        <v>1514</v>
      </c>
      <c r="E125" s="63" t="s">
        <v>865</v>
      </c>
      <c r="F125" s="63">
        <v>11</v>
      </c>
      <c r="G125" s="63"/>
      <c r="H125" s="63" t="b">
        <v>1</v>
      </c>
      <c r="I125" s="63" t="b">
        <v>1</v>
      </c>
      <c r="J125" s="63" t="b">
        <v>0</v>
      </c>
    </row>
    <row r="126" spans="1:10" x14ac:dyDescent="0.2">
      <c r="A126" s="112">
        <v>124</v>
      </c>
      <c r="B126" s="63" t="s">
        <v>1431</v>
      </c>
      <c r="C126" s="63" t="s">
        <v>788</v>
      </c>
      <c r="D126" s="63" t="s">
        <v>1515</v>
      </c>
      <c r="E126" s="63" t="s">
        <v>866</v>
      </c>
      <c r="F126" s="63">
        <v>255</v>
      </c>
      <c r="G126" s="63"/>
      <c r="H126" s="63" t="b">
        <v>1</v>
      </c>
      <c r="I126" s="63" t="b">
        <v>0</v>
      </c>
      <c r="J126" s="63" t="b">
        <v>0</v>
      </c>
    </row>
    <row r="127" spans="1:10" x14ac:dyDescent="0.2">
      <c r="A127" s="112">
        <v>131</v>
      </c>
      <c r="B127" s="112" t="s">
        <v>1010</v>
      </c>
      <c r="C127" s="112" t="s">
        <v>1430</v>
      </c>
      <c r="D127" s="112" t="s">
        <v>980</v>
      </c>
      <c r="E127" s="112" t="s">
        <v>865</v>
      </c>
      <c r="F127" s="112">
        <v>11</v>
      </c>
      <c r="G127" s="112" t="s">
        <v>27</v>
      </c>
      <c r="H127" s="112" t="b">
        <v>0</v>
      </c>
      <c r="I127" s="112" t="b">
        <v>0</v>
      </c>
      <c r="J127" s="112" t="b">
        <v>0</v>
      </c>
    </row>
    <row r="128" spans="1:10" x14ac:dyDescent="0.2">
      <c r="A128" s="112">
        <v>127</v>
      </c>
      <c r="B128" s="112" t="s">
        <v>1010</v>
      </c>
      <c r="C128" s="112" t="s">
        <v>962</v>
      </c>
      <c r="D128" s="112" t="s">
        <v>976</v>
      </c>
      <c r="E128" s="112" t="s">
        <v>865</v>
      </c>
      <c r="F128" s="112">
        <v>11</v>
      </c>
      <c r="G128" s="112"/>
      <c r="H128" s="112" t="b">
        <v>1</v>
      </c>
      <c r="I128" s="112" t="b">
        <v>0</v>
      </c>
      <c r="J128" s="112" t="b">
        <v>0</v>
      </c>
    </row>
    <row r="129" spans="1:10" x14ac:dyDescent="0.2">
      <c r="A129" s="112">
        <v>126</v>
      </c>
      <c r="B129" t="s">
        <v>1010</v>
      </c>
      <c r="C129" t="s">
        <v>1</v>
      </c>
      <c r="D129" t="s">
        <v>975</v>
      </c>
      <c r="E129" t="s">
        <v>865</v>
      </c>
      <c r="F129">
        <v>11</v>
      </c>
      <c r="H129" t="b">
        <v>1</v>
      </c>
      <c r="I129" t="b">
        <v>1</v>
      </c>
      <c r="J129" t="b">
        <v>0</v>
      </c>
    </row>
    <row r="130" spans="1:10" x14ac:dyDescent="0.2">
      <c r="A130" s="112">
        <v>134</v>
      </c>
      <c r="B130" t="s">
        <v>1010</v>
      </c>
      <c r="C130" t="s">
        <v>162</v>
      </c>
      <c r="D130" t="s">
        <v>1542</v>
      </c>
      <c r="E130" t="s">
        <v>868</v>
      </c>
      <c r="G130" t="s">
        <v>27</v>
      </c>
      <c r="H130" t="b">
        <v>0</v>
      </c>
      <c r="I130" t="b">
        <v>0</v>
      </c>
      <c r="J130" t="b">
        <v>0</v>
      </c>
    </row>
    <row r="131" spans="1:10" x14ac:dyDescent="0.2">
      <c r="A131" s="112">
        <v>133</v>
      </c>
      <c r="B131" t="s">
        <v>1010</v>
      </c>
      <c r="C131" t="s">
        <v>967</v>
      </c>
      <c r="D131" t="s">
        <v>1541</v>
      </c>
      <c r="E131" t="s">
        <v>866</v>
      </c>
      <c r="F131">
        <v>255</v>
      </c>
      <c r="G131" t="s">
        <v>27</v>
      </c>
      <c r="H131" t="b">
        <v>0</v>
      </c>
      <c r="I131" t="b">
        <v>0</v>
      </c>
      <c r="J131" t="b">
        <v>0</v>
      </c>
    </row>
    <row r="132" spans="1:10" x14ac:dyDescent="0.2">
      <c r="A132" s="112">
        <v>130</v>
      </c>
      <c r="B132" t="s">
        <v>1010</v>
      </c>
      <c r="C132" t="s">
        <v>946</v>
      </c>
      <c r="D132" t="s">
        <v>979</v>
      </c>
      <c r="E132" t="s">
        <v>873</v>
      </c>
      <c r="F132" t="s">
        <v>871</v>
      </c>
      <c r="G132">
        <v>0</v>
      </c>
      <c r="H132" t="b">
        <v>1</v>
      </c>
      <c r="I132" t="b">
        <v>0</v>
      </c>
      <c r="J132" t="b">
        <v>0</v>
      </c>
    </row>
    <row r="133" spans="1:10" x14ac:dyDescent="0.2">
      <c r="A133" s="112">
        <v>129</v>
      </c>
      <c r="B133" t="s">
        <v>1010</v>
      </c>
      <c r="C133" t="s">
        <v>931</v>
      </c>
      <c r="D133" t="s">
        <v>978</v>
      </c>
      <c r="E133" t="s">
        <v>869</v>
      </c>
      <c r="H133" t="b">
        <v>1</v>
      </c>
      <c r="I133" t="b">
        <v>0</v>
      </c>
      <c r="J133" t="b">
        <v>0</v>
      </c>
    </row>
    <row r="134" spans="1:10" x14ac:dyDescent="0.2">
      <c r="A134" s="112">
        <v>132</v>
      </c>
      <c r="B134" t="s">
        <v>1010</v>
      </c>
      <c r="C134" t="s">
        <v>1460</v>
      </c>
      <c r="D134" t="s">
        <v>981</v>
      </c>
      <c r="E134" t="s">
        <v>865</v>
      </c>
      <c r="F134">
        <v>11</v>
      </c>
      <c r="G134" t="s">
        <v>27</v>
      </c>
      <c r="H134" t="b">
        <v>0</v>
      </c>
      <c r="I134" t="b">
        <v>0</v>
      </c>
      <c r="J134" t="b">
        <v>0</v>
      </c>
    </row>
    <row r="135" spans="1:10" x14ac:dyDescent="0.2">
      <c r="A135" s="112">
        <v>128</v>
      </c>
      <c r="B135" t="s">
        <v>1010</v>
      </c>
      <c r="C135" t="s">
        <v>4</v>
      </c>
      <c r="D135" t="s">
        <v>977</v>
      </c>
      <c r="E135" t="s">
        <v>865</v>
      </c>
      <c r="F135">
        <v>11</v>
      </c>
      <c r="H135" t="b">
        <v>1</v>
      </c>
      <c r="I135" t="b">
        <v>0</v>
      </c>
      <c r="J135" t="b">
        <v>0</v>
      </c>
    </row>
    <row r="136" spans="1:10" x14ac:dyDescent="0.2">
      <c r="A136" s="112">
        <v>139</v>
      </c>
      <c r="B136" s="63" t="s">
        <v>1009</v>
      </c>
      <c r="C136" s="63" t="s">
        <v>1502</v>
      </c>
      <c r="D136" s="63" t="s">
        <v>1538</v>
      </c>
      <c r="E136" s="63" t="s">
        <v>865</v>
      </c>
      <c r="F136" s="63">
        <v>11</v>
      </c>
      <c r="G136" s="63"/>
      <c r="H136" s="63" t="b">
        <v>1</v>
      </c>
      <c r="I136" s="63" t="b">
        <v>0</v>
      </c>
      <c r="J136" s="63" t="b">
        <v>0</v>
      </c>
    </row>
    <row r="137" spans="1:10" x14ac:dyDescent="0.2">
      <c r="A137" s="112">
        <v>135</v>
      </c>
      <c r="B137" s="63" t="s">
        <v>1009</v>
      </c>
      <c r="C137" s="63" t="s">
        <v>1</v>
      </c>
      <c r="D137" s="63" t="s">
        <v>1533</v>
      </c>
      <c r="E137" s="63" t="s">
        <v>865</v>
      </c>
      <c r="F137" s="63">
        <v>11</v>
      </c>
      <c r="G137" s="63"/>
      <c r="H137" s="63" t="b">
        <v>1</v>
      </c>
      <c r="I137" s="63" t="b">
        <v>1</v>
      </c>
      <c r="J137" s="63" t="b">
        <v>0</v>
      </c>
    </row>
    <row r="138" spans="1:10" x14ac:dyDescent="0.2">
      <c r="A138" s="112">
        <v>137</v>
      </c>
      <c r="B138" s="63" t="s">
        <v>1009</v>
      </c>
      <c r="C138" s="63" t="s">
        <v>788</v>
      </c>
      <c r="D138" s="63" t="s">
        <v>1535</v>
      </c>
      <c r="E138" s="63" t="s">
        <v>866</v>
      </c>
      <c r="F138" s="63">
        <v>255</v>
      </c>
      <c r="G138" s="63"/>
      <c r="H138" s="63" t="b">
        <v>1</v>
      </c>
      <c r="I138" s="63" t="b">
        <v>0</v>
      </c>
      <c r="J138" s="63" t="b">
        <v>0</v>
      </c>
    </row>
    <row r="139" spans="1:10" x14ac:dyDescent="0.2">
      <c r="A139" s="112">
        <v>138</v>
      </c>
      <c r="B139" s="63" t="s">
        <v>1009</v>
      </c>
      <c r="C139" s="63" t="s">
        <v>1387</v>
      </c>
      <c r="D139" s="63" t="s">
        <v>1536</v>
      </c>
      <c r="E139" s="63" t="s">
        <v>865</v>
      </c>
      <c r="F139" s="63">
        <v>11</v>
      </c>
      <c r="G139" s="63"/>
      <c r="H139" s="63" t="b">
        <v>1</v>
      </c>
      <c r="I139" s="63" t="b">
        <v>0</v>
      </c>
      <c r="J139" s="63" t="b">
        <v>0</v>
      </c>
    </row>
    <row r="140" spans="1:10" x14ac:dyDescent="0.2">
      <c r="A140" s="112">
        <v>136</v>
      </c>
      <c r="B140" s="63" t="s">
        <v>1009</v>
      </c>
      <c r="C140" s="63" t="s">
        <v>4</v>
      </c>
      <c r="D140" s="63" t="s">
        <v>1534</v>
      </c>
      <c r="E140" s="63" t="s">
        <v>865</v>
      </c>
      <c r="F140" s="63">
        <v>11</v>
      </c>
      <c r="G140" s="63"/>
      <c r="H140" s="63" t="b">
        <v>1</v>
      </c>
      <c r="I140" s="63" t="b">
        <v>0</v>
      </c>
      <c r="J140" s="63" t="b">
        <v>0</v>
      </c>
    </row>
    <row r="141" spans="1:10" x14ac:dyDescent="0.2">
      <c r="A141" s="112">
        <v>143</v>
      </c>
      <c r="B141" s="112" t="s">
        <v>1031</v>
      </c>
      <c r="C141" s="112" t="s">
        <v>870</v>
      </c>
      <c r="D141" s="112" t="s">
        <v>1520</v>
      </c>
      <c r="E141" s="112" t="s">
        <v>869</v>
      </c>
      <c r="F141" s="112"/>
      <c r="G141" s="112" t="s">
        <v>27</v>
      </c>
      <c r="H141" s="112" t="b">
        <v>0</v>
      </c>
      <c r="I141" s="112" t="b">
        <v>0</v>
      </c>
      <c r="J141" s="112" t="b">
        <v>0</v>
      </c>
    </row>
    <row r="142" spans="1:10" x14ac:dyDescent="0.2">
      <c r="A142" s="112">
        <v>140</v>
      </c>
      <c r="B142" s="112" t="s">
        <v>1031</v>
      </c>
      <c r="C142" s="112" t="s">
        <v>1</v>
      </c>
      <c r="D142" s="112" t="s">
        <v>1517</v>
      </c>
      <c r="E142" s="112" t="s">
        <v>865</v>
      </c>
      <c r="F142" s="112">
        <v>11</v>
      </c>
      <c r="G142" s="112"/>
      <c r="H142" s="112" t="b">
        <v>1</v>
      </c>
      <c r="I142" s="112" t="b">
        <v>1</v>
      </c>
      <c r="J142" s="112" t="b">
        <v>0</v>
      </c>
    </row>
    <row r="143" spans="1:10" x14ac:dyDescent="0.2">
      <c r="A143" s="112">
        <v>141</v>
      </c>
      <c r="B143" s="112" t="s">
        <v>1031</v>
      </c>
      <c r="C143" s="112" t="s">
        <v>788</v>
      </c>
      <c r="D143" s="112" t="s">
        <v>1518</v>
      </c>
      <c r="E143" s="112" t="s">
        <v>866</v>
      </c>
      <c r="F143" s="112">
        <v>255</v>
      </c>
      <c r="G143" s="112"/>
      <c r="H143" s="112" t="b">
        <v>1</v>
      </c>
      <c r="I143" s="112" t="b">
        <v>0</v>
      </c>
      <c r="J143" s="112" t="b">
        <v>0</v>
      </c>
    </row>
    <row r="144" spans="1:10" x14ac:dyDescent="0.2">
      <c r="A144" s="112">
        <v>142</v>
      </c>
      <c r="B144" s="112" t="s">
        <v>1031</v>
      </c>
      <c r="C144" s="112" t="s">
        <v>1032</v>
      </c>
      <c r="D144" s="112" t="s">
        <v>1519</v>
      </c>
      <c r="E144" s="112" t="s">
        <v>866</v>
      </c>
      <c r="F144" s="112">
        <v>255</v>
      </c>
      <c r="G144" s="112"/>
      <c r="H144" s="112" t="b">
        <v>1</v>
      </c>
      <c r="I144" s="112" t="b">
        <v>0</v>
      </c>
      <c r="J144" s="112" t="b">
        <v>0</v>
      </c>
    </row>
    <row r="145" spans="1:10" x14ac:dyDescent="0.2">
      <c r="A145" s="112">
        <v>145</v>
      </c>
      <c r="B145" s="63" t="s">
        <v>1035</v>
      </c>
      <c r="C145" s="63" t="s">
        <v>1502</v>
      </c>
      <c r="D145" s="63" t="s">
        <v>1522</v>
      </c>
      <c r="E145" s="63" t="s">
        <v>865</v>
      </c>
      <c r="F145" s="63">
        <v>11</v>
      </c>
      <c r="G145" s="63"/>
      <c r="H145" s="63" t="b">
        <v>1</v>
      </c>
      <c r="I145" s="63" t="b">
        <v>0</v>
      </c>
      <c r="J145" s="63" t="b">
        <v>0</v>
      </c>
    </row>
    <row r="146" spans="1:10" x14ac:dyDescent="0.2">
      <c r="A146" s="112">
        <v>147</v>
      </c>
      <c r="B146" s="63" t="s">
        <v>1035</v>
      </c>
      <c r="C146" s="63" t="s">
        <v>870</v>
      </c>
      <c r="D146" s="63" t="s">
        <v>1525</v>
      </c>
      <c r="E146" s="63" t="s">
        <v>869</v>
      </c>
      <c r="F146" s="63"/>
      <c r="G146" s="63" t="s">
        <v>27</v>
      </c>
      <c r="H146" s="63" t="b">
        <v>0</v>
      </c>
      <c r="I146" s="63" t="b">
        <v>0</v>
      </c>
      <c r="J146" s="63" t="b">
        <v>0</v>
      </c>
    </row>
    <row r="147" spans="1:10" x14ac:dyDescent="0.2">
      <c r="A147" s="112">
        <v>144</v>
      </c>
      <c r="B147" s="63" t="s">
        <v>1035</v>
      </c>
      <c r="C147" s="63" t="s">
        <v>1</v>
      </c>
      <c r="D147" s="63" t="s">
        <v>1521</v>
      </c>
      <c r="E147" s="63" t="s">
        <v>865</v>
      </c>
      <c r="F147" s="63">
        <v>11</v>
      </c>
      <c r="G147" s="63"/>
      <c r="H147" s="63" t="b">
        <v>1</v>
      </c>
      <c r="I147" s="63" t="b">
        <v>1</v>
      </c>
      <c r="J147" s="63" t="b">
        <v>0</v>
      </c>
    </row>
    <row r="148" spans="1:10" x14ac:dyDescent="0.2">
      <c r="A148" s="112">
        <v>146</v>
      </c>
      <c r="B148" s="63" t="s">
        <v>1035</v>
      </c>
      <c r="C148" s="63" t="s">
        <v>1032</v>
      </c>
      <c r="D148" s="63" t="s">
        <v>1524</v>
      </c>
      <c r="E148" s="63" t="s">
        <v>866</v>
      </c>
      <c r="F148" s="63">
        <v>255</v>
      </c>
      <c r="G148" s="63" t="s">
        <v>27</v>
      </c>
      <c r="H148" s="63" t="b">
        <v>0</v>
      </c>
      <c r="I148" s="63" t="b">
        <v>0</v>
      </c>
      <c r="J148" s="63" t="b">
        <v>0</v>
      </c>
    </row>
    <row r="149" spans="1:10" x14ac:dyDescent="0.2">
      <c r="A149" s="112">
        <v>150</v>
      </c>
      <c r="B149" s="112" t="s">
        <v>1420</v>
      </c>
      <c r="C149" s="112" t="s">
        <v>867</v>
      </c>
      <c r="D149" s="112" t="s">
        <v>1511</v>
      </c>
      <c r="E149" s="112" t="s">
        <v>866</v>
      </c>
      <c r="F149" s="112">
        <v>20</v>
      </c>
      <c r="G149" s="112"/>
      <c r="H149" s="112" t="b">
        <v>1</v>
      </c>
      <c r="I149" s="112" t="b">
        <v>0</v>
      </c>
      <c r="J149" s="112" t="b">
        <v>0</v>
      </c>
    </row>
    <row r="150" spans="1:10" x14ac:dyDescent="0.2">
      <c r="A150" s="112">
        <v>148</v>
      </c>
      <c r="B150" s="112" t="s">
        <v>1420</v>
      </c>
      <c r="C150" s="112" t="s">
        <v>1</v>
      </c>
      <c r="D150" s="112" t="s">
        <v>1057</v>
      </c>
      <c r="E150" s="112" t="s">
        <v>865</v>
      </c>
      <c r="F150" s="112">
        <v>11</v>
      </c>
      <c r="G150" s="112"/>
      <c r="H150" s="112" t="b">
        <v>1</v>
      </c>
      <c r="I150" s="112" t="b">
        <v>1</v>
      </c>
      <c r="J150" s="112" t="b">
        <v>0</v>
      </c>
    </row>
    <row r="151" spans="1:10" x14ac:dyDescent="0.2">
      <c r="A151" s="112">
        <v>149</v>
      </c>
      <c r="B151" s="112" t="s">
        <v>1420</v>
      </c>
      <c r="C151" s="112" t="s">
        <v>788</v>
      </c>
      <c r="D151" s="112" t="s">
        <v>1058</v>
      </c>
      <c r="E151" s="112" t="s">
        <v>866</v>
      </c>
      <c r="F151" s="112">
        <v>255</v>
      </c>
      <c r="G151" s="112"/>
      <c r="H151" s="112" t="b">
        <v>1</v>
      </c>
      <c r="I151" s="112" t="b">
        <v>0</v>
      </c>
      <c r="J151" s="112" t="b">
        <v>0</v>
      </c>
    </row>
    <row r="152" spans="1:10" x14ac:dyDescent="0.2">
      <c r="A152" s="112">
        <v>153</v>
      </c>
      <c r="B152" s="63" t="s">
        <v>1260</v>
      </c>
      <c r="C152" s="63" t="s">
        <v>1261</v>
      </c>
      <c r="D152" s="63" t="s">
        <v>1774</v>
      </c>
      <c r="E152" s="63" t="s">
        <v>865</v>
      </c>
      <c r="F152" s="63">
        <v>11</v>
      </c>
      <c r="G152" s="63"/>
      <c r="H152" s="63" t="b">
        <v>1</v>
      </c>
      <c r="I152" s="63" t="b">
        <v>0</v>
      </c>
      <c r="J152" s="63" t="b">
        <v>0</v>
      </c>
    </row>
    <row r="153" spans="1:10" x14ac:dyDescent="0.2">
      <c r="A153" s="112">
        <v>151</v>
      </c>
      <c r="B153" s="63" t="s">
        <v>1260</v>
      </c>
      <c r="C153" s="63" t="s">
        <v>1</v>
      </c>
      <c r="D153" s="63" t="s">
        <v>1772</v>
      </c>
      <c r="E153" s="63" t="s">
        <v>865</v>
      </c>
      <c r="F153" s="63">
        <v>11</v>
      </c>
      <c r="G153" s="63"/>
      <c r="H153" s="63" t="b">
        <v>1</v>
      </c>
      <c r="I153" s="63" t="b">
        <v>1</v>
      </c>
      <c r="J153" s="63" t="b">
        <v>0</v>
      </c>
    </row>
    <row r="154" spans="1:10" x14ac:dyDescent="0.2">
      <c r="A154" s="112">
        <v>154</v>
      </c>
      <c r="B154" s="63" t="s">
        <v>1260</v>
      </c>
      <c r="C154" s="63" t="s">
        <v>788</v>
      </c>
      <c r="D154" s="63" t="s">
        <v>1775</v>
      </c>
      <c r="E154" s="63" t="s">
        <v>866</v>
      </c>
      <c r="F154" s="63">
        <v>255</v>
      </c>
      <c r="G154" s="63"/>
      <c r="H154" s="63" t="b">
        <v>1</v>
      </c>
      <c r="I154" s="63" t="b">
        <v>0</v>
      </c>
      <c r="J154" s="63" t="b">
        <v>0</v>
      </c>
    </row>
    <row r="155" spans="1:10" x14ac:dyDescent="0.2">
      <c r="A155" s="112">
        <v>155</v>
      </c>
      <c r="B155" s="63" t="s">
        <v>1260</v>
      </c>
      <c r="C155" s="63" t="s">
        <v>1387</v>
      </c>
      <c r="D155" s="63" t="s">
        <v>1776</v>
      </c>
      <c r="E155" s="63" t="s">
        <v>865</v>
      </c>
      <c r="F155" s="63">
        <v>11</v>
      </c>
      <c r="G155" s="63" t="s">
        <v>27</v>
      </c>
      <c r="H155" s="63" t="b">
        <v>0</v>
      </c>
      <c r="I155" s="63" t="b">
        <v>0</v>
      </c>
      <c r="J155" s="63" t="b">
        <v>0</v>
      </c>
    </row>
    <row r="156" spans="1:10" x14ac:dyDescent="0.2">
      <c r="A156" s="112">
        <v>152</v>
      </c>
      <c r="B156" s="63" t="s">
        <v>1260</v>
      </c>
      <c r="C156" s="63" t="s">
        <v>4</v>
      </c>
      <c r="D156" s="63" t="s">
        <v>1773</v>
      </c>
      <c r="E156" s="63" t="s">
        <v>865</v>
      </c>
      <c r="F156" s="63">
        <v>11</v>
      </c>
      <c r="G156" s="63"/>
      <c r="H156" s="63" t="b">
        <v>1</v>
      </c>
      <c r="I156" s="63" t="b">
        <v>0</v>
      </c>
      <c r="J156" s="63" t="b">
        <v>0</v>
      </c>
    </row>
    <row r="157" spans="1:10" x14ac:dyDescent="0.2">
      <c r="A157" s="112">
        <v>159</v>
      </c>
      <c r="B157" t="s">
        <v>1279</v>
      </c>
      <c r="C157" t="s">
        <v>1272</v>
      </c>
      <c r="D157" t="s">
        <v>1793</v>
      </c>
      <c r="E157" t="s">
        <v>865</v>
      </c>
      <c r="F157">
        <v>11</v>
      </c>
      <c r="H157" t="b">
        <v>1</v>
      </c>
      <c r="I157" t="b">
        <v>0</v>
      </c>
      <c r="J157" t="b">
        <v>0</v>
      </c>
    </row>
    <row r="158" spans="1:10" x14ac:dyDescent="0.2">
      <c r="A158" s="112">
        <v>158</v>
      </c>
      <c r="B158" t="s">
        <v>1279</v>
      </c>
      <c r="C158" t="s">
        <v>1278</v>
      </c>
      <c r="D158" t="s">
        <v>1792</v>
      </c>
      <c r="E158" t="s">
        <v>865</v>
      </c>
      <c r="F158">
        <v>11</v>
      </c>
      <c r="H158" t="b">
        <v>1</v>
      </c>
      <c r="I158" t="b">
        <v>0</v>
      </c>
      <c r="J158" t="b">
        <v>0</v>
      </c>
    </row>
    <row r="159" spans="1:10" x14ac:dyDescent="0.2">
      <c r="A159" s="112">
        <v>156</v>
      </c>
      <c r="B159" t="s">
        <v>1279</v>
      </c>
      <c r="C159" t="s">
        <v>1</v>
      </c>
      <c r="D159" t="s">
        <v>1790</v>
      </c>
      <c r="E159" t="s">
        <v>865</v>
      </c>
      <c r="F159">
        <v>11</v>
      </c>
      <c r="H159" t="b">
        <v>1</v>
      </c>
      <c r="I159" t="b">
        <v>1</v>
      </c>
      <c r="J159" t="b">
        <v>0</v>
      </c>
    </row>
    <row r="160" spans="1:10" x14ac:dyDescent="0.2">
      <c r="A160" s="112">
        <v>161</v>
      </c>
      <c r="B160" t="s">
        <v>1279</v>
      </c>
      <c r="C160" t="s">
        <v>967</v>
      </c>
      <c r="D160" t="s">
        <v>1795</v>
      </c>
      <c r="E160" t="s">
        <v>866</v>
      </c>
      <c r="F160">
        <v>255</v>
      </c>
      <c r="G160" t="s">
        <v>27</v>
      </c>
      <c r="H160" t="b">
        <v>0</v>
      </c>
      <c r="I160" t="b">
        <v>0</v>
      </c>
      <c r="J160" t="b">
        <v>0</v>
      </c>
    </row>
    <row r="161" spans="1:10" x14ac:dyDescent="0.2">
      <c r="A161" s="112">
        <v>160</v>
      </c>
      <c r="B161" t="s">
        <v>1279</v>
      </c>
      <c r="C161" t="s">
        <v>946</v>
      </c>
      <c r="D161" t="s">
        <v>1794</v>
      </c>
      <c r="E161" t="s">
        <v>873</v>
      </c>
      <c r="F161" t="s">
        <v>871</v>
      </c>
      <c r="G161">
        <v>0</v>
      </c>
      <c r="H161" t="b">
        <v>1</v>
      </c>
      <c r="I161" t="b">
        <v>0</v>
      </c>
      <c r="J161" t="b">
        <v>0</v>
      </c>
    </row>
    <row r="162" spans="1:10" x14ac:dyDescent="0.2">
      <c r="A162" s="112">
        <v>157</v>
      </c>
      <c r="B162" t="s">
        <v>1279</v>
      </c>
      <c r="C162" t="s">
        <v>4</v>
      </c>
      <c r="D162" t="s">
        <v>1791</v>
      </c>
      <c r="E162" t="s">
        <v>865</v>
      </c>
      <c r="F162">
        <v>11</v>
      </c>
      <c r="H162" t="b">
        <v>1</v>
      </c>
      <c r="I162" t="b">
        <v>0</v>
      </c>
      <c r="J162" t="b">
        <v>0</v>
      </c>
    </row>
    <row r="163" spans="1:10" x14ac:dyDescent="0.2">
      <c r="A163" s="112">
        <v>164</v>
      </c>
      <c r="B163" s="112" t="s">
        <v>1271</v>
      </c>
      <c r="C163" s="112" t="s">
        <v>867</v>
      </c>
      <c r="D163" s="112" t="s">
        <v>1779</v>
      </c>
      <c r="E163" s="112" t="s">
        <v>866</v>
      </c>
      <c r="F163" s="112">
        <v>20</v>
      </c>
      <c r="G163" s="112"/>
      <c r="H163" s="112" t="b">
        <v>1</v>
      </c>
      <c r="I163" s="112" t="b">
        <v>0</v>
      </c>
      <c r="J163" s="112" t="b">
        <v>0</v>
      </c>
    </row>
    <row r="164" spans="1:10" x14ac:dyDescent="0.2">
      <c r="A164" s="112">
        <v>162</v>
      </c>
      <c r="B164" s="112" t="s">
        <v>1271</v>
      </c>
      <c r="C164" s="112" t="s">
        <v>1</v>
      </c>
      <c r="D164" s="112" t="s">
        <v>1777</v>
      </c>
      <c r="E164" s="112" t="s">
        <v>865</v>
      </c>
      <c r="F164" s="112">
        <v>11</v>
      </c>
      <c r="G164" s="112"/>
      <c r="H164" s="112" t="b">
        <v>1</v>
      </c>
      <c r="I164" s="112" t="b">
        <v>1</v>
      </c>
      <c r="J164" s="112" t="b">
        <v>0</v>
      </c>
    </row>
    <row r="165" spans="1:10" x14ac:dyDescent="0.2">
      <c r="A165" s="112">
        <v>163</v>
      </c>
      <c r="B165" s="112" t="s">
        <v>1271</v>
      </c>
      <c r="C165" s="112" t="s">
        <v>788</v>
      </c>
      <c r="D165" s="112" t="s">
        <v>1778</v>
      </c>
      <c r="E165" s="112" t="s">
        <v>866</v>
      </c>
      <c r="F165" s="112">
        <v>255</v>
      </c>
      <c r="G165" s="112"/>
      <c r="H165" s="112" t="b">
        <v>1</v>
      </c>
      <c r="I165" s="112" t="b">
        <v>0</v>
      </c>
      <c r="J165" s="112" t="b">
        <v>0</v>
      </c>
    </row>
    <row r="166" spans="1:10" x14ac:dyDescent="0.2">
      <c r="A166" s="112">
        <v>172</v>
      </c>
      <c r="B166" s="63" t="s">
        <v>1270</v>
      </c>
      <c r="C166" s="63" t="s">
        <v>973</v>
      </c>
      <c r="D166" s="63" t="s">
        <v>1787</v>
      </c>
      <c r="E166" s="63" t="s">
        <v>866</v>
      </c>
      <c r="F166" s="63">
        <v>255</v>
      </c>
      <c r="G166" s="63" t="s">
        <v>27</v>
      </c>
      <c r="H166" s="63" t="b">
        <v>0</v>
      </c>
      <c r="I166" s="63" t="b">
        <v>0</v>
      </c>
      <c r="J166" s="63" t="b">
        <v>0</v>
      </c>
    </row>
    <row r="167" spans="1:10" x14ac:dyDescent="0.2">
      <c r="A167" s="112">
        <v>173</v>
      </c>
      <c r="B167" s="63" t="s">
        <v>1270</v>
      </c>
      <c r="C167" s="63" t="s">
        <v>3</v>
      </c>
      <c r="D167" s="63" t="s">
        <v>1788</v>
      </c>
      <c r="E167" s="63" t="s">
        <v>868</v>
      </c>
      <c r="F167" s="63"/>
      <c r="G167" s="63" t="s">
        <v>27</v>
      </c>
      <c r="H167" s="63" t="b">
        <v>0</v>
      </c>
      <c r="I167" s="63" t="b">
        <v>0</v>
      </c>
      <c r="J167" s="63" t="b">
        <v>0</v>
      </c>
    </row>
    <row r="168" spans="1:10" x14ac:dyDescent="0.2">
      <c r="A168" s="112">
        <v>170</v>
      </c>
      <c r="B168" s="63" t="s">
        <v>1270</v>
      </c>
      <c r="C168" s="63" t="s">
        <v>870</v>
      </c>
      <c r="D168" s="63" t="s">
        <v>1785</v>
      </c>
      <c r="E168" s="63" t="s">
        <v>869</v>
      </c>
      <c r="F168" s="63"/>
      <c r="G168" s="63" t="s">
        <v>27</v>
      </c>
      <c r="H168" s="63" t="b">
        <v>0</v>
      </c>
      <c r="I168" s="63" t="b">
        <v>0</v>
      </c>
      <c r="J168" s="63" t="b">
        <v>0</v>
      </c>
    </row>
    <row r="169" spans="1:10" x14ac:dyDescent="0.2">
      <c r="A169" s="112">
        <v>167</v>
      </c>
      <c r="B169" s="63" t="s">
        <v>1270</v>
      </c>
      <c r="C169" s="63" t="s">
        <v>1272</v>
      </c>
      <c r="D169" s="63" t="s">
        <v>1782</v>
      </c>
      <c r="E169" s="63" t="s">
        <v>865</v>
      </c>
      <c r="F169" s="63">
        <v>11</v>
      </c>
      <c r="G169" s="63"/>
      <c r="H169" s="63" t="b">
        <v>1</v>
      </c>
      <c r="I169" s="63" t="b">
        <v>0</v>
      </c>
      <c r="J169" s="63" t="b">
        <v>0</v>
      </c>
    </row>
    <row r="170" spans="1:10" x14ac:dyDescent="0.2">
      <c r="A170" s="112">
        <v>168</v>
      </c>
      <c r="B170" s="63" t="s">
        <v>1270</v>
      </c>
      <c r="C170" s="63" t="s">
        <v>1579</v>
      </c>
      <c r="D170" s="63" t="s">
        <v>1783</v>
      </c>
      <c r="E170" s="63" t="s">
        <v>865</v>
      </c>
      <c r="F170" s="63">
        <v>11</v>
      </c>
      <c r="G170" s="63"/>
      <c r="H170" s="63" t="b">
        <v>1</v>
      </c>
      <c r="I170" s="63" t="b">
        <v>0</v>
      </c>
      <c r="J170" s="63" t="b">
        <v>0</v>
      </c>
    </row>
    <row r="171" spans="1:10" x14ac:dyDescent="0.2">
      <c r="A171" s="112">
        <v>165</v>
      </c>
      <c r="B171" s="63" t="s">
        <v>1270</v>
      </c>
      <c r="C171" s="63" t="s">
        <v>1</v>
      </c>
      <c r="D171" s="63" t="s">
        <v>1780</v>
      </c>
      <c r="E171" s="63" t="s">
        <v>865</v>
      </c>
      <c r="F171" s="63">
        <v>11</v>
      </c>
      <c r="G171" s="63"/>
      <c r="H171" s="63" t="b">
        <v>1</v>
      </c>
      <c r="I171" s="63" t="b">
        <v>1</v>
      </c>
      <c r="J171" s="63" t="b">
        <v>0</v>
      </c>
    </row>
    <row r="172" spans="1:10" x14ac:dyDescent="0.2">
      <c r="A172" s="112">
        <v>174</v>
      </c>
      <c r="B172" s="63" t="s">
        <v>1270</v>
      </c>
      <c r="C172" s="63" t="s">
        <v>162</v>
      </c>
      <c r="D172" s="63" t="s">
        <v>1789</v>
      </c>
      <c r="E172" s="63" t="s">
        <v>868</v>
      </c>
      <c r="F172" s="63"/>
      <c r="G172" s="63" t="s">
        <v>27</v>
      </c>
      <c r="H172" s="63" t="b">
        <v>0</v>
      </c>
      <c r="I172" s="63" t="b">
        <v>0</v>
      </c>
      <c r="J172" s="63" t="b">
        <v>0</v>
      </c>
    </row>
    <row r="173" spans="1:10" x14ac:dyDescent="0.2">
      <c r="A173" s="112">
        <v>171</v>
      </c>
      <c r="B173" s="63" t="s">
        <v>1270</v>
      </c>
      <c r="C173" s="63" t="s">
        <v>967</v>
      </c>
      <c r="D173" s="63" t="s">
        <v>1786</v>
      </c>
      <c r="E173" s="63" t="s">
        <v>866</v>
      </c>
      <c r="F173" s="63">
        <v>255</v>
      </c>
      <c r="G173" s="63" t="s">
        <v>27</v>
      </c>
      <c r="H173" s="63" t="b">
        <v>0</v>
      </c>
      <c r="I173" s="63" t="b">
        <v>0</v>
      </c>
      <c r="J173" s="63" t="b">
        <v>0</v>
      </c>
    </row>
    <row r="174" spans="1:10" x14ac:dyDescent="0.2">
      <c r="A174" s="112">
        <v>169</v>
      </c>
      <c r="B174" s="63" t="s">
        <v>1270</v>
      </c>
      <c r="C174" s="63" t="s">
        <v>946</v>
      </c>
      <c r="D174" s="63" t="s">
        <v>1784</v>
      </c>
      <c r="E174" s="63" t="s">
        <v>873</v>
      </c>
      <c r="F174" s="63" t="s">
        <v>871</v>
      </c>
      <c r="G174" s="63">
        <v>0</v>
      </c>
      <c r="H174" s="63" t="b">
        <v>1</v>
      </c>
      <c r="I174" s="63" t="b">
        <v>0</v>
      </c>
      <c r="J174" s="63" t="b">
        <v>0</v>
      </c>
    </row>
    <row r="175" spans="1:10" x14ac:dyDescent="0.2">
      <c r="A175" s="112">
        <v>166</v>
      </c>
      <c r="B175" s="63" t="s">
        <v>1270</v>
      </c>
      <c r="C175" s="63" t="s">
        <v>4</v>
      </c>
      <c r="D175" s="63" t="s">
        <v>1781</v>
      </c>
      <c r="E175" s="63" t="s">
        <v>865</v>
      </c>
      <c r="F175" s="63">
        <v>11</v>
      </c>
      <c r="G175" s="63"/>
      <c r="H175" s="63" t="b">
        <v>1</v>
      </c>
      <c r="I175" s="63" t="b">
        <v>0</v>
      </c>
      <c r="J175" s="63" t="b">
        <v>0</v>
      </c>
    </row>
    <row r="176" spans="1:10" x14ac:dyDescent="0.2">
      <c r="A176" s="112">
        <v>180</v>
      </c>
      <c r="B176" t="s">
        <v>1259</v>
      </c>
      <c r="C176" t="s">
        <v>3</v>
      </c>
      <c r="D176" t="s">
        <v>1771</v>
      </c>
      <c r="E176" t="s">
        <v>868</v>
      </c>
      <c r="G176" t="s">
        <v>27</v>
      </c>
      <c r="H176" t="b">
        <v>0</v>
      </c>
      <c r="I176" t="b">
        <v>0</v>
      </c>
      <c r="J176" t="b">
        <v>0</v>
      </c>
    </row>
    <row r="177" spans="1:10" x14ac:dyDescent="0.2">
      <c r="A177" s="112">
        <v>178</v>
      </c>
      <c r="B177" t="s">
        <v>1259</v>
      </c>
      <c r="C177" t="s">
        <v>1502</v>
      </c>
      <c r="D177" t="s">
        <v>1769</v>
      </c>
      <c r="E177" t="s">
        <v>865</v>
      </c>
      <c r="F177">
        <v>11</v>
      </c>
      <c r="H177" t="b">
        <v>1</v>
      </c>
      <c r="I177" t="b">
        <v>0</v>
      </c>
      <c r="J177" t="b">
        <v>0</v>
      </c>
    </row>
    <row r="178" spans="1:10" x14ac:dyDescent="0.2">
      <c r="A178" s="112">
        <v>175</v>
      </c>
      <c r="B178" t="s">
        <v>1259</v>
      </c>
      <c r="C178" t="s">
        <v>1</v>
      </c>
      <c r="D178" t="s">
        <v>1766</v>
      </c>
      <c r="E178" t="s">
        <v>865</v>
      </c>
      <c r="F178">
        <v>11</v>
      </c>
      <c r="H178" t="b">
        <v>1</v>
      </c>
      <c r="I178" t="b">
        <v>1</v>
      </c>
      <c r="J178" t="b">
        <v>0</v>
      </c>
    </row>
    <row r="179" spans="1:10" x14ac:dyDescent="0.2">
      <c r="A179" s="112">
        <v>176</v>
      </c>
      <c r="B179" t="s">
        <v>1259</v>
      </c>
      <c r="C179" t="s">
        <v>788</v>
      </c>
      <c r="D179" t="s">
        <v>1767</v>
      </c>
      <c r="E179" t="s">
        <v>866</v>
      </c>
      <c r="F179">
        <v>255</v>
      </c>
      <c r="H179" t="b">
        <v>1</v>
      </c>
      <c r="I179" t="b">
        <v>0</v>
      </c>
      <c r="J179" t="b">
        <v>0</v>
      </c>
    </row>
    <row r="180" spans="1:10" x14ac:dyDescent="0.2">
      <c r="A180" s="112">
        <v>179</v>
      </c>
      <c r="B180" t="s">
        <v>1259</v>
      </c>
      <c r="C180" t="s">
        <v>967</v>
      </c>
      <c r="D180" t="s">
        <v>1770</v>
      </c>
      <c r="E180" t="s">
        <v>866</v>
      </c>
      <c r="F180">
        <v>255</v>
      </c>
      <c r="G180" t="s">
        <v>27</v>
      </c>
      <c r="H180" t="b">
        <v>0</v>
      </c>
      <c r="I180" t="b">
        <v>0</v>
      </c>
      <c r="J180" t="b">
        <v>0</v>
      </c>
    </row>
    <row r="181" spans="1:10" x14ac:dyDescent="0.2">
      <c r="A181" s="112">
        <v>177</v>
      </c>
      <c r="B181" t="s">
        <v>1259</v>
      </c>
      <c r="C181" t="s">
        <v>4</v>
      </c>
      <c r="D181" t="s">
        <v>1768</v>
      </c>
      <c r="E181" t="s">
        <v>865</v>
      </c>
      <c r="F181">
        <v>11</v>
      </c>
      <c r="H181" t="b">
        <v>1</v>
      </c>
      <c r="I181" t="b">
        <v>0</v>
      </c>
      <c r="J181" t="b">
        <v>0</v>
      </c>
    </row>
    <row r="182" spans="1:10" x14ac:dyDescent="0.2">
      <c r="A182" s="112">
        <v>190</v>
      </c>
      <c r="B182" s="63" t="s">
        <v>1262</v>
      </c>
      <c r="C182" s="63" t="s">
        <v>1446</v>
      </c>
      <c r="D182" s="63" t="s">
        <v>1507</v>
      </c>
      <c r="E182" s="63" t="s">
        <v>866</v>
      </c>
      <c r="F182" s="63">
        <v>255</v>
      </c>
      <c r="G182" s="63" t="s">
        <v>27</v>
      </c>
      <c r="H182" s="63" t="b">
        <v>0</v>
      </c>
      <c r="I182" s="63" t="b">
        <v>0</v>
      </c>
      <c r="J182" s="63" t="b">
        <v>0</v>
      </c>
    </row>
    <row r="183" spans="1:10" x14ac:dyDescent="0.2">
      <c r="A183" s="112">
        <v>189</v>
      </c>
      <c r="B183" s="63" t="s">
        <v>1262</v>
      </c>
      <c r="C183" s="63" t="s">
        <v>1445</v>
      </c>
      <c r="D183" s="63" t="s">
        <v>1053</v>
      </c>
      <c r="E183" s="63" t="s">
        <v>866</v>
      </c>
      <c r="F183" s="63">
        <v>255</v>
      </c>
      <c r="G183" s="63" t="s">
        <v>27</v>
      </c>
      <c r="H183" s="63" t="b">
        <v>0</v>
      </c>
      <c r="I183" s="63" t="b">
        <v>0</v>
      </c>
      <c r="J183" s="63" t="b">
        <v>0</v>
      </c>
    </row>
    <row r="184" spans="1:10" x14ac:dyDescent="0.2">
      <c r="A184" s="112">
        <v>185</v>
      </c>
      <c r="B184" s="63" t="s">
        <v>1262</v>
      </c>
      <c r="C184" s="63" t="s">
        <v>43</v>
      </c>
      <c r="D184" s="63" t="s">
        <v>1397</v>
      </c>
      <c r="E184" s="63" t="s">
        <v>866</v>
      </c>
      <c r="F184" s="63">
        <v>255</v>
      </c>
      <c r="G184" s="63" t="s">
        <v>27</v>
      </c>
      <c r="H184" s="63" t="b">
        <v>0</v>
      </c>
      <c r="I184" s="63" t="b">
        <v>0</v>
      </c>
      <c r="J184" s="63" t="b">
        <v>0</v>
      </c>
    </row>
    <row r="185" spans="1:10" x14ac:dyDescent="0.2">
      <c r="A185" s="112">
        <v>187</v>
      </c>
      <c r="B185" s="63" t="s">
        <v>1262</v>
      </c>
      <c r="C185" s="63" t="s">
        <v>1444</v>
      </c>
      <c r="D185" s="63" t="s">
        <v>1051</v>
      </c>
      <c r="E185" s="63" t="s">
        <v>866</v>
      </c>
      <c r="F185" s="63">
        <v>255</v>
      </c>
      <c r="G185" s="63" t="s">
        <v>27</v>
      </c>
      <c r="H185" s="63" t="b">
        <v>0</v>
      </c>
      <c r="I185" s="63" t="b">
        <v>0</v>
      </c>
      <c r="J185" s="63" t="b">
        <v>0</v>
      </c>
    </row>
    <row r="186" spans="1:10" x14ac:dyDescent="0.2">
      <c r="A186" s="112">
        <v>181</v>
      </c>
      <c r="B186" s="63" t="s">
        <v>1262</v>
      </c>
      <c r="C186" s="63" t="s">
        <v>1</v>
      </c>
      <c r="D186" s="63" t="s">
        <v>934</v>
      </c>
      <c r="E186" s="63" t="s">
        <v>865</v>
      </c>
      <c r="F186" s="63">
        <v>11</v>
      </c>
      <c r="G186" s="63"/>
      <c r="H186" s="63" t="b">
        <v>1</v>
      </c>
      <c r="I186" s="63" t="b">
        <v>1</v>
      </c>
      <c r="J186" s="63" t="b">
        <v>0</v>
      </c>
    </row>
    <row r="187" spans="1:10" x14ac:dyDescent="0.2">
      <c r="A187" s="112">
        <v>188</v>
      </c>
      <c r="B187" s="63" t="s">
        <v>1262</v>
      </c>
      <c r="C187" s="63" t="s">
        <v>1443</v>
      </c>
      <c r="D187" s="63" t="s">
        <v>1052</v>
      </c>
      <c r="E187" s="63" t="s">
        <v>866</v>
      </c>
      <c r="F187" s="63">
        <v>255</v>
      </c>
      <c r="G187" s="63" t="s">
        <v>27</v>
      </c>
      <c r="H187" s="63" t="b">
        <v>0</v>
      </c>
      <c r="I187" s="63" t="b">
        <v>0</v>
      </c>
      <c r="J187" s="63" t="b">
        <v>0</v>
      </c>
    </row>
    <row r="188" spans="1:10" x14ac:dyDescent="0.2">
      <c r="A188" s="112">
        <v>186</v>
      </c>
      <c r="B188" s="63" t="s">
        <v>1262</v>
      </c>
      <c r="C188" s="63" t="s">
        <v>954</v>
      </c>
      <c r="D188" s="63" t="s">
        <v>1503</v>
      </c>
      <c r="E188" s="63" t="s">
        <v>866</v>
      </c>
      <c r="F188" s="63">
        <v>255</v>
      </c>
      <c r="G188" s="63" t="s">
        <v>27</v>
      </c>
      <c r="H188" s="63" t="b">
        <v>0</v>
      </c>
      <c r="I188" s="63" t="b">
        <v>0</v>
      </c>
      <c r="J188" s="63" t="b">
        <v>0</v>
      </c>
    </row>
    <row r="189" spans="1:10" x14ac:dyDescent="0.2">
      <c r="A189" s="112">
        <v>183</v>
      </c>
      <c r="B189" s="63" t="s">
        <v>1262</v>
      </c>
      <c r="C189" s="63" t="s">
        <v>788</v>
      </c>
      <c r="D189" s="63" t="s">
        <v>936</v>
      </c>
      <c r="E189" s="63" t="s">
        <v>866</v>
      </c>
      <c r="F189" s="63">
        <v>255</v>
      </c>
      <c r="G189" s="63"/>
      <c r="H189" s="63" t="b">
        <v>1</v>
      </c>
      <c r="I189" s="63" t="b">
        <v>0</v>
      </c>
      <c r="J189" s="63" t="b">
        <v>0</v>
      </c>
    </row>
    <row r="190" spans="1:10" x14ac:dyDescent="0.2">
      <c r="A190" s="112">
        <v>184</v>
      </c>
      <c r="B190" s="63" t="s">
        <v>1262</v>
      </c>
      <c r="C190" s="63" t="s">
        <v>967</v>
      </c>
      <c r="D190" s="63" t="s">
        <v>937</v>
      </c>
      <c r="E190" s="63" t="s">
        <v>866</v>
      </c>
      <c r="F190" s="63">
        <v>255</v>
      </c>
      <c r="G190" s="63" t="s">
        <v>27</v>
      </c>
      <c r="H190" s="63" t="b">
        <v>0</v>
      </c>
      <c r="I190" s="63" t="b">
        <v>0</v>
      </c>
      <c r="J190" s="63" t="b">
        <v>0</v>
      </c>
    </row>
    <row r="191" spans="1:10" x14ac:dyDescent="0.2">
      <c r="A191" s="112">
        <v>182</v>
      </c>
      <c r="B191" s="63" t="s">
        <v>1262</v>
      </c>
      <c r="C191" s="63" t="s">
        <v>4</v>
      </c>
      <c r="D191" s="63" t="s">
        <v>935</v>
      </c>
      <c r="E191" s="63" t="s">
        <v>865</v>
      </c>
      <c r="F191" s="63">
        <v>11</v>
      </c>
      <c r="G191" s="63"/>
      <c r="H191" s="63" t="b">
        <v>1</v>
      </c>
      <c r="I191" s="63" t="b">
        <v>0</v>
      </c>
      <c r="J191" s="63" t="b">
        <v>0</v>
      </c>
    </row>
    <row r="192" spans="1:10" x14ac:dyDescent="0.2">
      <c r="A192" s="112">
        <v>201</v>
      </c>
      <c r="B192" s="112" t="s">
        <v>1478</v>
      </c>
      <c r="C192" s="112" t="s">
        <v>3</v>
      </c>
      <c r="D192" s="112" t="s">
        <v>1679</v>
      </c>
      <c r="E192" s="112" t="s">
        <v>868</v>
      </c>
      <c r="F192" s="112"/>
      <c r="G192" s="112" t="s">
        <v>27</v>
      </c>
      <c r="H192" s="112" t="b">
        <v>0</v>
      </c>
      <c r="I192" s="112" t="b">
        <v>0</v>
      </c>
      <c r="J192" s="112" t="b">
        <v>0</v>
      </c>
    </row>
    <row r="193" spans="1:10" x14ac:dyDescent="0.2">
      <c r="A193" s="112">
        <v>196</v>
      </c>
      <c r="B193" s="112" t="s">
        <v>1478</v>
      </c>
      <c r="C193" s="112" t="s">
        <v>927</v>
      </c>
      <c r="D193" s="112" t="s">
        <v>1674</v>
      </c>
      <c r="E193" s="112" t="s">
        <v>869</v>
      </c>
      <c r="F193" s="112"/>
      <c r="G193" s="112"/>
      <c r="H193" s="112" t="b">
        <v>1</v>
      </c>
      <c r="I193" s="112" t="b">
        <v>0</v>
      </c>
      <c r="J193" s="112" t="b">
        <v>0</v>
      </c>
    </row>
    <row r="194" spans="1:10" x14ac:dyDescent="0.2">
      <c r="A194" s="112">
        <v>198</v>
      </c>
      <c r="B194" s="112" t="s">
        <v>1478</v>
      </c>
      <c r="C194" s="112" t="s">
        <v>1549</v>
      </c>
      <c r="D194" s="112" t="s">
        <v>1676</v>
      </c>
      <c r="E194" s="112" t="s">
        <v>865</v>
      </c>
      <c r="F194" s="112">
        <v>11</v>
      </c>
      <c r="G194" s="112"/>
      <c r="H194" s="112" t="b">
        <v>1</v>
      </c>
      <c r="I194" s="112" t="b">
        <v>0</v>
      </c>
      <c r="J194" s="112" t="b">
        <v>0</v>
      </c>
    </row>
    <row r="195" spans="1:10" x14ac:dyDescent="0.2">
      <c r="A195" s="112">
        <v>191</v>
      </c>
      <c r="B195" s="112" t="s">
        <v>1478</v>
      </c>
      <c r="C195" s="112" t="s">
        <v>1</v>
      </c>
      <c r="D195" s="112" t="s">
        <v>1669</v>
      </c>
      <c r="E195" s="112" t="s">
        <v>865</v>
      </c>
      <c r="F195" s="112">
        <v>11</v>
      </c>
      <c r="G195" s="112"/>
      <c r="H195" s="112" t="b">
        <v>1</v>
      </c>
      <c r="I195" s="112" t="b">
        <v>1</v>
      </c>
      <c r="J195" s="112" t="b">
        <v>0</v>
      </c>
    </row>
    <row r="196" spans="1:10" x14ac:dyDescent="0.2">
      <c r="A196" s="112">
        <v>197</v>
      </c>
      <c r="B196" s="112" t="s">
        <v>1478</v>
      </c>
      <c r="C196" s="112" t="s">
        <v>928</v>
      </c>
      <c r="D196" s="112" t="s">
        <v>1675</v>
      </c>
      <c r="E196" s="112" t="s">
        <v>869</v>
      </c>
      <c r="F196" s="112"/>
      <c r="G196" s="112" t="s">
        <v>27</v>
      </c>
      <c r="H196" s="112" t="b">
        <v>0</v>
      </c>
      <c r="I196" s="112" t="b">
        <v>0</v>
      </c>
      <c r="J196" s="112" t="b">
        <v>0</v>
      </c>
    </row>
    <row r="197" spans="1:10" x14ac:dyDescent="0.2">
      <c r="A197" s="112">
        <v>202</v>
      </c>
      <c r="B197" s="112" t="s">
        <v>1478</v>
      </c>
      <c r="C197" s="112" t="s">
        <v>162</v>
      </c>
      <c r="D197" s="112" t="s">
        <v>1680</v>
      </c>
      <c r="E197" s="112" t="s">
        <v>868</v>
      </c>
      <c r="F197" s="112"/>
      <c r="G197" s="112" t="s">
        <v>27</v>
      </c>
      <c r="H197" s="112" t="b">
        <v>0</v>
      </c>
      <c r="I197" s="112" t="b">
        <v>0</v>
      </c>
      <c r="J197" s="112" t="b">
        <v>0</v>
      </c>
    </row>
    <row r="198" spans="1:10" x14ac:dyDescent="0.2">
      <c r="A198" s="112">
        <v>192</v>
      </c>
      <c r="B198" s="112" t="s">
        <v>1478</v>
      </c>
      <c r="C198" s="112" t="s">
        <v>788</v>
      </c>
      <c r="D198" s="112" t="s">
        <v>1670</v>
      </c>
      <c r="E198" s="112" t="s">
        <v>866</v>
      </c>
      <c r="F198" s="112">
        <v>255</v>
      </c>
      <c r="G198" s="112"/>
      <c r="H198" s="112" t="b">
        <v>1</v>
      </c>
      <c r="I198" s="112" t="b">
        <v>0</v>
      </c>
      <c r="J198" s="112" t="b">
        <v>0</v>
      </c>
    </row>
    <row r="199" spans="1:10" x14ac:dyDescent="0.2">
      <c r="A199" s="112">
        <v>194</v>
      </c>
      <c r="B199" s="112" t="s">
        <v>1478</v>
      </c>
      <c r="C199" s="112" t="s">
        <v>1562</v>
      </c>
      <c r="D199" s="112" t="s">
        <v>1672</v>
      </c>
      <c r="E199" s="112" t="s">
        <v>865</v>
      </c>
      <c r="F199" s="112">
        <v>11</v>
      </c>
      <c r="G199" s="112"/>
      <c r="H199" s="112" t="b">
        <v>1</v>
      </c>
      <c r="I199" s="112" t="b">
        <v>0</v>
      </c>
      <c r="J199" s="112" t="b">
        <v>0</v>
      </c>
    </row>
    <row r="200" spans="1:10" x14ac:dyDescent="0.2">
      <c r="A200" s="112">
        <v>195</v>
      </c>
      <c r="B200" s="112" t="s">
        <v>1478</v>
      </c>
      <c r="C200" s="112" t="s">
        <v>1590</v>
      </c>
      <c r="D200" s="112" t="s">
        <v>1673</v>
      </c>
      <c r="E200" s="112" t="s">
        <v>865</v>
      </c>
      <c r="F200" s="112">
        <v>11</v>
      </c>
      <c r="G200" s="112"/>
      <c r="H200" s="112" t="b">
        <v>1</v>
      </c>
      <c r="I200" s="112" t="b">
        <v>0</v>
      </c>
      <c r="J200" s="112" t="b">
        <v>0</v>
      </c>
    </row>
    <row r="201" spans="1:10" x14ac:dyDescent="0.2">
      <c r="A201" s="112">
        <v>200</v>
      </c>
      <c r="B201" s="112" t="s">
        <v>1478</v>
      </c>
      <c r="C201" s="112" t="s">
        <v>951</v>
      </c>
      <c r="D201" s="112" t="s">
        <v>1678</v>
      </c>
      <c r="E201" s="112" t="s">
        <v>873</v>
      </c>
      <c r="F201" s="112" t="s">
        <v>871</v>
      </c>
      <c r="G201" s="112">
        <v>0</v>
      </c>
      <c r="H201" s="112" t="b">
        <v>1</v>
      </c>
      <c r="I201" s="112" t="b">
        <v>0</v>
      </c>
      <c r="J201" s="112" t="b">
        <v>0</v>
      </c>
    </row>
    <row r="202" spans="1:10" x14ac:dyDescent="0.2">
      <c r="A202" s="112">
        <v>199</v>
      </c>
      <c r="B202" s="112" t="s">
        <v>1478</v>
      </c>
      <c r="C202" s="112" t="s">
        <v>1458</v>
      </c>
      <c r="D202" s="112" t="s">
        <v>1677</v>
      </c>
      <c r="E202" s="112" t="s">
        <v>866</v>
      </c>
      <c r="F202" s="112">
        <v>255</v>
      </c>
      <c r="G202" s="112" t="s">
        <v>27</v>
      </c>
      <c r="H202" s="112" t="b">
        <v>0</v>
      </c>
      <c r="I202" s="112" t="b">
        <v>0</v>
      </c>
      <c r="J202" s="112" t="b">
        <v>0</v>
      </c>
    </row>
    <row r="203" spans="1:10" x14ac:dyDescent="0.2">
      <c r="A203" s="112">
        <v>193</v>
      </c>
      <c r="B203" t="s">
        <v>1478</v>
      </c>
      <c r="C203" t="s">
        <v>4</v>
      </c>
      <c r="D203" t="s">
        <v>1671</v>
      </c>
      <c r="E203" t="s">
        <v>865</v>
      </c>
      <c r="F203">
        <v>11</v>
      </c>
      <c r="H203" t="b">
        <v>1</v>
      </c>
      <c r="I203" t="b">
        <v>0</v>
      </c>
      <c r="J203" t="b">
        <v>0</v>
      </c>
    </row>
    <row r="204" spans="1:10" x14ac:dyDescent="0.2">
      <c r="A204" s="112">
        <v>207</v>
      </c>
      <c r="B204" s="63" t="s">
        <v>1481</v>
      </c>
      <c r="C204" s="63" t="s">
        <v>1502</v>
      </c>
      <c r="D204" s="63" t="s">
        <v>1662</v>
      </c>
      <c r="E204" s="63" t="s">
        <v>865</v>
      </c>
      <c r="F204" s="63">
        <v>11</v>
      </c>
      <c r="G204" s="63"/>
      <c r="H204" s="63" t="b">
        <v>1</v>
      </c>
      <c r="I204" s="63" t="b">
        <v>0</v>
      </c>
      <c r="J204" s="63" t="b">
        <v>0</v>
      </c>
    </row>
    <row r="205" spans="1:10" x14ac:dyDescent="0.2">
      <c r="A205" s="112">
        <v>203</v>
      </c>
      <c r="B205" s="63" t="s">
        <v>1481</v>
      </c>
      <c r="C205" s="63" t="s">
        <v>1</v>
      </c>
      <c r="D205" s="63" t="s">
        <v>1658</v>
      </c>
      <c r="E205" s="63" t="s">
        <v>865</v>
      </c>
      <c r="F205" s="63">
        <v>11</v>
      </c>
      <c r="G205" s="63"/>
      <c r="H205" s="63" t="b">
        <v>1</v>
      </c>
      <c r="I205" s="63" t="b">
        <v>1</v>
      </c>
      <c r="J205" s="63" t="b">
        <v>0</v>
      </c>
    </row>
    <row r="206" spans="1:10" x14ac:dyDescent="0.2">
      <c r="A206" s="112">
        <v>205</v>
      </c>
      <c r="B206" s="63" t="s">
        <v>1481</v>
      </c>
      <c r="C206" s="63" t="s">
        <v>788</v>
      </c>
      <c r="D206" s="63" t="s">
        <v>1660</v>
      </c>
      <c r="E206" s="63" t="s">
        <v>866</v>
      </c>
      <c r="F206" s="63">
        <v>255</v>
      </c>
      <c r="G206" s="63"/>
      <c r="H206" s="63" t="b">
        <v>1</v>
      </c>
      <c r="I206" s="63" t="b">
        <v>0</v>
      </c>
      <c r="J206" s="63" t="b">
        <v>0</v>
      </c>
    </row>
    <row r="207" spans="1:10" x14ac:dyDescent="0.2">
      <c r="A207" s="112">
        <v>206</v>
      </c>
      <c r="B207" s="63" t="s">
        <v>1481</v>
      </c>
      <c r="C207" s="63" t="s">
        <v>1387</v>
      </c>
      <c r="D207" s="63" t="s">
        <v>1661</v>
      </c>
      <c r="E207" s="63" t="s">
        <v>865</v>
      </c>
      <c r="F207" s="63">
        <v>11</v>
      </c>
      <c r="G207" s="63"/>
      <c r="H207" s="63" t="b">
        <v>1</v>
      </c>
      <c r="I207" s="63" t="b">
        <v>0</v>
      </c>
      <c r="J207" s="63" t="b">
        <v>0</v>
      </c>
    </row>
    <row r="208" spans="1:10" x14ac:dyDescent="0.2">
      <c r="A208" s="112">
        <v>204</v>
      </c>
      <c r="B208" s="63" t="s">
        <v>1481</v>
      </c>
      <c r="C208" s="63" t="s">
        <v>4</v>
      </c>
      <c r="D208" s="63" t="s">
        <v>1659</v>
      </c>
      <c r="E208" s="63" t="s">
        <v>865</v>
      </c>
      <c r="F208" s="63">
        <v>11</v>
      </c>
      <c r="G208" s="63"/>
      <c r="H208" s="63" t="b">
        <v>1</v>
      </c>
      <c r="I208" s="63" t="b">
        <v>0</v>
      </c>
      <c r="J208" s="63" t="b">
        <v>0</v>
      </c>
    </row>
    <row r="209" spans="1:10" x14ac:dyDescent="0.2">
      <c r="A209" s="112">
        <v>210</v>
      </c>
      <c r="B209" s="63" t="s">
        <v>1470</v>
      </c>
      <c r="C209" s="63" t="s">
        <v>867</v>
      </c>
      <c r="D209" s="63" t="s">
        <v>1668</v>
      </c>
      <c r="E209" s="63" t="s">
        <v>866</v>
      </c>
      <c r="F209" s="63">
        <v>20</v>
      </c>
      <c r="G209" s="63"/>
      <c r="H209" s="63" t="b">
        <v>1</v>
      </c>
      <c r="I209" s="63" t="b">
        <v>0</v>
      </c>
      <c r="J209" s="63" t="b">
        <v>0</v>
      </c>
    </row>
    <row r="210" spans="1:10" x14ac:dyDescent="0.2">
      <c r="A210" s="112">
        <v>208</v>
      </c>
      <c r="B210" s="63" t="s">
        <v>1470</v>
      </c>
      <c r="C210" s="63" t="s">
        <v>1</v>
      </c>
      <c r="D210" s="63" t="s">
        <v>1666</v>
      </c>
      <c r="E210" s="63" t="s">
        <v>865</v>
      </c>
      <c r="F210" s="63">
        <v>11</v>
      </c>
      <c r="G210" s="63"/>
      <c r="H210" s="63" t="b">
        <v>1</v>
      </c>
      <c r="I210" s="63" t="b">
        <v>1</v>
      </c>
      <c r="J210" s="63" t="b">
        <v>0</v>
      </c>
    </row>
    <row r="211" spans="1:10" x14ac:dyDescent="0.2">
      <c r="A211" s="112">
        <v>209</v>
      </c>
      <c r="B211" s="63" t="s">
        <v>1470</v>
      </c>
      <c r="C211" s="63" t="s">
        <v>788</v>
      </c>
      <c r="D211" s="63" t="s">
        <v>1667</v>
      </c>
      <c r="E211" s="63" t="s">
        <v>866</v>
      </c>
      <c r="F211" s="63">
        <v>255</v>
      </c>
      <c r="G211" s="63"/>
      <c r="H211" s="63" t="b">
        <v>1</v>
      </c>
      <c r="I211" s="63" t="b">
        <v>0</v>
      </c>
      <c r="J211" s="63" t="b">
        <v>0</v>
      </c>
    </row>
    <row r="212" spans="1:10" x14ac:dyDescent="0.2">
      <c r="A212" s="112">
        <v>217</v>
      </c>
      <c r="B212" s="63" t="s">
        <v>1471</v>
      </c>
      <c r="C212" s="63" t="s">
        <v>1459</v>
      </c>
      <c r="D212" s="63" t="s">
        <v>1687</v>
      </c>
      <c r="E212" s="63" t="s">
        <v>873</v>
      </c>
      <c r="F212" s="63" t="s">
        <v>871</v>
      </c>
      <c r="G212" s="63">
        <v>0</v>
      </c>
      <c r="H212" s="63" t="b">
        <v>0</v>
      </c>
      <c r="I212" s="63" t="b">
        <v>0</v>
      </c>
      <c r="J212" s="63" t="b">
        <v>0</v>
      </c>
    </row>
    <row r="213" spans="1:10" x14ac:dyDescent="0.2">
      <c r="A213" s="112">
        <v>216</v>
      </c>
      <c r="B213" s="63" t="s">
        <v>1471</v>
      </c>
      <c r="C213" s="63" t="s">
        <v>930</v>
      </c>
      <c r="D213" s="63" t="s">
        <v>1686</v>
      </c>
      <c r="E213" s="63" t="s">
        <v>873</v>
      </c>
      <c r="F213" s="63" t="s">
        <v>871</v>
      </c>
      <c r="G213" s="63">
        <v>0</v>
      </c>
      <c r="H213" s="63" t="b">
        <v>1</v>
      </c>
      <c r="I213" s="63" t="b">
        <v>0</v>
      </c>
      <c r="J213" s="63" t="b">
        <v>0</v>
      </c>
    </row>
    <row r="214" spans="1:10" x14ac:dyDescent="0.2">
      <c r="A214" s="112">
        <v>215</v>
      </c>
      <c r="B214" s="63" t="s">
        <v>1471</v>
      </c>
      <c r="C214" s="63" t="s">
        <v>1140</v>
      </c>
      <c r="D214" s="63" t="s">
        <v>1685</v>
      </c>
      <c r="E214" s="63" t="s">
        <v>869</v>
      </c>
      <c r="F214" s="63"/>
      <c r="G214" s="63" t="s">
        <v>27</v>
      </c>
      <c r="H214" s="63" t="b">
        <v>0</v>
      </c>
      <c r="I214" s="63" t="b">
        <v>0</v>
      </c>
      <c r="J214" s="63" t="b">
        <v>0</v>
      </c>
    </row>
    <row r="215" spans="1:10" x14ac:dyDescent="0.2">
      <c r="A215" s="112">
        <v>211</v>
      </c>
      <c r="B215" s="63" t="s">
        <v>1471</v>
      </c>
      <c r="C215" s="63" t="s">
        <v>1</v>
      </c>
      <c r="D215" s="63" t="s">
        <v>1681</v>
      </c>
      <c r="E215" s="63" t="s">
        <v>865</v>
      </c>
      <c r="F215" s="63">
        <v>11</v>
      </c>
      <c r="G215" s="63"/>
      <c r="H215" s="63" t="b">
        <v>1</v>
      </c>
      <c r="I215" s="63" t="b">
        <v>1</v>
      </c>
      <c r="J215" s="63" t="b">
        <v>0</v>
      </c>
    </row>
    <row r="216" spans="1:10" x14ac:dyDescent="0.2">
      <c r="A216" s="112">
        <v>223</v>
      </c>
      <c r="B216" s="63" t="s">
        <v>1471</v>
      </c>
      <c r="C216" s="63" t="s">
        <v>162</v>
      </c>
      <c r="D216" s="63" t="s">
        <v>1693</v>
      </c>
      <c r="E216" s="63" t="s">
        <v>868</v>
      </c>
      <c r="F216" s="63"/>
      <c r="G216" s="63" t="s">
        <v>27</v>
      </c>
      <c r="H216" s="63" t="b">
        <v>0</v>
      </c>
      <c r="I216" s="63" t="b">
        <v>0</v>
      </c>
      <c r="J216" s="63" t="b">
        <v>0</v>
      </c>
    </row>
    <row r="217" spans="1:10" x14ac:dyDescent="0.2">
      <c r="A217" s="112">
        <v>222</v>
      </c>
      <c r="B217" s="63" t="s">
        <v>1471</v>
      </c>
      <c r="C217" s="63" t="s">
        <v>967</v>
      </c>
      <c r="D217" s="63" t="s">
        <v>1692</v>
      </c>
      <c r="E217" s="63" t="s">
        <v>866</v>
      </c>
      <c r="F217" s="63">
        <v>255</v>
      </c>
      <c r="G217" s="63" t="s">
        <v>27</v>
      </c>
      <c r="H217" s="63" t="b">
        <v>0</v>
      </c>
      <c r="I217" s="63" t="b">
        <v>0</v>
      </c>
      <c r="J217" s="63" t="b">
        <v>0</v>
      </c>
    </row>
    <row r="218" spans="1:10" x14ac:dyDescent="0.2">
      <c r="A218" s="112">
        <v>219</v>
      </c>
      <c r="B218" s="63" t="s">
        <v>1471</v>
      </c>
      <c r="C218" s="63" t="s">
        <v>946</v>
      </c>
      <c r="D218" s="63" t="s">
        <v>1689</v>
      </c>
      <c r="E218" s="63" t="s">
        <v>873</v>
      </c>
      <c r="F218" s="63" t="s">
        <v>871</v>
      </c>
      <c r="G218" s="63">
        <v>0</v>
      </c>
      <c r="H218" s="63" t="b">
        <v>0</v>
      </c>
      <c r="I218" s="63" t="b">
        <v>0</v>
      </c>
      <c r="J218" s="63" t="b">
        <v>0</v>
      </c>
    </row>
    <row r="219" spans="1:10" x14ac:dyDescent="0.2">
      <c r="A219" s="112">
        <v>220</v>
      </c>
      <c r="B219" s="63" t="s">
        <v>1471</v>
      </c>
      <c r="C219" s="63" t="s">
        <v>931</v>
      </c>
      <c r="D219" s="63" t="s">
        <v>1690</v>
      </c>
      <c r="E219" s="63" t="s">
        <v>869</v>
      </c>
      <c r="F219" s="63"/>
      <c r="G219" s="63" t="s">
        <v>27</v>
      </c>
      <c r="H219" s="63" t="b">
        <v>0</v>
      </c>
      <c r="I219" s="63" t="b">
        <v>0</v>
      </c>
      <c r="J219" s="63" t="b">
        <v>0</v>
      </c>
    </row>
    <row r="220" spans="1:10" x14ac:dyDescent="0.2">
      <c r="A220" s="112">
        <v>212</v>
      </c>
      <c r="B220" s="63" t="s">
        <v>1471</v>
      </c>
      <c r="C220" s="63" t="s">
        <v>1566</v>
      </c>
      <c r="D220" s="63" t="s">
        <v>1682</v>
      </c>
      <c r="E220" s="63" t="s">
        <v>865</v>
      </c>
      <c r="F220" s="63">
        <v>11</v>
      </c>
      <c r="G220" s="63"/>
      <c r="H220" s="63" t="b">
        <v>1</v>
      </c>
      <c r="I220" s="63" t="b">
        <v>0</v>
      </c>
      <c r="J220" s="63" t="b">
        <v>0</v>
      </c>
    </row>
    <row r="221" spans="1:10" x14ac:dyDescent="0.2">
      <c r="A221" s="112">
        <v>218</v>
      </c>
      <c r="B221" s="63" t="s">
        <v>1471</v>
      </c>
      <c r="C221" s="63" t="s">
        <v>1473</v>
      </c>
      <c r="D221" s="63" t="s">
        <v>1688</v>
      </c>
      <c r="E221" s="63" t="s">
        <v>865</v>
      </c>
      <c r="F221" s="63">
        <v>11</v>
      </c>
      <c r="G221" s="63" t="s">
        <v>27</v>
      </c>
      <c r="H221" s="63" t="b">
        <v>0</v>
      </c>
      <c r="I221" s="63" t="b">
        <v>0</v>
      </c>
      <c r="J221" s="63" t="b">
        <v>0</v>
      </c>
    </row>
    <row r="222" spans="1:10" x14ac:dyDescent="0.2">
      <c r="A222" s="112">
        <v>214</v>
      </c>
      <c r="B222" s="63" t="s">
        <v>1471</v>
      </c>
      <c r="C222" s="63" t="s">
        <v>929</v>
      </c>
      <c r="D222" s="63" t="s">
        <v>1684</v>
      </c>
      <c r="E222" s="63" t="s">
        <v>869</v>
      </c>
      <c r="F222" s="63"/>
      <c r="G222" s="63"/>
      <c r="H222" s="63" t="b">
        <v>1</v>
      </c>
      <c r="I222" s="63" t="b">
        <v>0</v>
      </c>
      <c r="J222" s="63" t="b">
        <v>0</v>
      </c>
    </row>
    <row r="223" spans="1:10" x14ac:dyDescent="0.2">
      <c r="A223" s="112">
        <v>221</v>
      </c>
      <c r="B223" s="63" t="s">
        <v>1471</v>
      </c>
      <c r="C223" s="63" t="s">
        <v>1460</v>
      </c>
      <c r="D223" s="63" t="s">
        <v>1691</v>
      </c>
      <c r="E223" s="63" t="s">
        <v>865</v>
      </c>
      <c r="F223" s="63">
        <v>11</v>
      </c>
      <c r="G223" s="63" t="s">
        <v>27</v>
      </c>
      <c r="H223" s="63" t="b">
        <v>0</v>
      </c>
      <c r="I223" s="63" t="b">
        <v>0</v>
      </c>
      <c r="J223" s="63" t="b">
        <v>0</v>
      </c>
    </row>
    <row r="224" spans="1:10" x14ac:dyDescent="0.2">
      <c r="A224" s="112">
        <v>213</v>
      </c>
      <c r="B224" s="63" t="s">
        <v>1471</v>
      </c>
      <c r="C224" s="63" t="s">
        <v>4</v>
      </c>
      <c r="D224" s="63" t="s">
        <v>1683</v>
      </c>
      <c r="E224" s="63" t="s">
        <v>865</v>
      </c>
      <c r="F224" s="63">
        <v>11</v>
      </c>
      <c r="G224" s="63"/>
      <c r="H224" s="63" t="b">
        <v>1</v>
      </c>
      <c r="I224" s="63" t="b">
        <v>0</v>
      </c>
      <c r="J224" s="63" t="b">
        <v>0</v>
      </c>
    </row>
    <row r="225" spans="1:10" x14ac:dyDescent="0.2">
      <c r="A225" s="112">
        <v>226</v>
      </c>
      <c r="B225" t="s">
        <v>1469</v>
      </c>
      <c r="C225" t="s">
        <v>867</v>
      </c>
      <c r="D225" t="s">
        <v>1665</v>
      </c>
      <c r="E225" t="s">
        <v>866</v>
      </c>
      <c r="F225">
        <v>20</v>
      </c>
      <c r="H225" t="b">
        <v>1</v>
      </c>
      <c r="I225" t="b">
        <v>0</v>
      </c>
      <c r="J225" t="b">
        <v>0</v>
      </c>
    </row>
    <row r="226" spans="1:10" x14ac:dyDescent="0.2">
      <c r="A226" s="112">
        <v>224</v>
      </c>
      <c r="B226" s="112" t="s">
        <v>1469</v>
      </c>
      <c r="C226" s="112" t="s">
        <v>1</v>
      </c>
      <c r="D226" s="112" t="s">
        <v>1663</v>
      </c>
      <c r="E226" s="112" t="s">
        <v>865</v>
      </c>
      <c r="F226" s="112">
        <v>11</v>
      </c>
      <c r="G226" s="112"/>
      <c r="H226" s="112" t="b">
        <v>1</v>
      </c>
      <c r="I226" s="112" t="b">
        <v>1</v>
      </c>
      <c r="J226" s="112" t="b">
        <v>0</v>
      </c>
    </row>
    <row r="227" spans="1:10" x14ac:dyDescent="0.2">
      <c r="A227" s="112">
        <v>225</v>
      </c>
      <c r="B227" s="112" t="s">
        <v>1469</v>
      </c>
      <c r="C227" s="112" t="s">
        <v>788</v>
      </c>
      <c r="D227" s="112" t="s">
        <v>1664</v>
      </c>
      <c r="E227" s="112" t="s">
        <v>866</v>
      </c>
      <c r="F227" s="112">
        <v>255</v>
      </c>
      <c r="G227" s="112"/>
      <c r="H227" s="112" t="b">
        <v>1</v>
      </c>
      <c r="I227" s="112" t="b">
        <v>0</v>
      </c>
      <c r="J227" s="112" t="b">
        <v>0</v>
      </c>
    </row>
    <row r="228" spans="1:10" x14ac:dyDescent="0.2">
      <c r="A228" s="112">
        <v>230</v>
      </c>
      <c r="B228" s="112" t="s">
        <v>1474</v>
      </c>
      <c r="C228" s="112" t="s">
        <v>870</v>
      </c>
      <c r="D228" s="112" t="s">
        <v>1697</v>
      </c>
      <c r="E228" s="112" t="s">
        <v>869</v>
      </c>
      <c r="F228" s="112"/>
      <c r="G228" s="112"/>
      <c r="H228" s="112" t="b">
        <v>1</v>
      </c>
      <c r="I228" s="112" t="b">
        <v>0</v>
      </c>
      <c r="J228" s="112" t="b">
        <v>0</v>
      </c>
    </row>
    <row r="229" spans="1:10" x14ac:dyDescent="0.2">
      <c r="A229" s="112">
        <v>227</v>
      </c>
      <c r="B229" s="112" t="s">
        <v>1474</v>
      </c>
      <c r="C229" s="112" t="s">
        <v>1</v>
      </c>
      <c r="D229" s="112" t="s">
        <v>1694</v>
      </c>
      <c r="E229" s="112" t="s">
        <v>865</v>
      </c>
      <c r="F229" s="112">
        <v>11</v>
      </c>
      <c r="G229" s="112"/>
      <c r="H229" s="112" t="b">
        <v>1</v>
      </c>
      <c r="I229" s="112" t="b">
        <v>1</v>
      </c>
      <c r="J229" s="112" t="b">
        <v>0</v>
      </c>
    </row>
    <row r="230" spans="1:10" x14ac:dyDescent="0.2">
      <c r="A230" s="112">
        <v>235</v>
      </c>
      <c r="B230" s="112" t="s">
        <v>1474</v>
      </c>
      <c r="C230" s="112" t="s">
        <v>162</v>
      </c>
      <c r="D230" s="112" t="s">
        <v>1702</v>
      </c>
      <c r="E230" s="112" t="s">
        <v>868</v>
      </c>
      <c r="F230" s="112"/>
      <c r="G230" s="112" t="s">
        <v>27</v>
      </c>
      <c r="H230" s="112" t="b">
        <v>0</v>
      </c>
      <c r="I230" s="112" t="b">
        <v>0</v>
      </c>
      <c r="J230" s="112" t="b">
        <v>0</v>
      </c>
    </row>
    <row r="231" spans="1:10" x14ac:dyDescent="0.2">
      <c r="A231" s="112">
        <v>234</v>
      </c>
      <c r="B231" t="s">
        <v>1474</v>
      </c>
      <c r="C231" t="s">
        <v>967</v>
      </c>
      <c r="D231" t="s">
        <v>1701</v>
      </c>
      <c r="E231" t="s">
        <v>866</v>
      </c>
      <c r="F231">
        <v>255</v>
      </c>
      <c r="G231" t="s">
        <v>27</v>
      </c>
      <c r="H231" t="b">
        <v>0</v>
      </c>
      <c r="I231" t="b">
        <v>0</v>
      </c>
      <c r="J231" t="b">
        <v>0</v>
      </c>
    </row>
    <row r="232" spans="1:10" x14ac:dyDescent="0.2">
      <c r="A232" s="112">
        <v>232</v>
      </c>
      <c r="B232" t="s">
        <v>1474</v>
      </c>
      <c r="C232" t="s">
        <v>946</v>
      </c>
      <c r="D232" t="s">
        <v>1699</v>
      </c>
      <c r="E232" t="s">
        <v>873</v>
      </c>
      <c r="F232" t="s">
        <v>871</v>
      </c>
      <c r="G232">
        <v>0</v>
      </c>
      <c r="H232" t="b">
        <v>1</v>
      </c>
      <c r="I232" t="b">
        <v>0</v>
      </c>
      <c r="J232" t="b">
        <v>0</v>
      </c>
    </row>
    <row r="233" spans="1:10" x14ac:dyDescent="0.2">
      <c r="A233" s="112">
        <v>231</v>
      </c>
      <c r="B233" t="s">
        <v>1474</v>
      </c>
      <c r="C233" t="s">
        <v>931</v>
      </c>
      <c r="D233" t="s">
        <v>1698</v>
      </c>
      <c r="E233" t="s">
        <v>869</v>
      </c>
      <c r="H233" t="b">
        <v>1</v>
      </c>
      <c r="I233" t="b">
        <v>0</v>
      </c>
      <c r="J233" t="b">
        <v>0</v>
      </c>
    </row>
    <row r="234" spans="1:10" x14ac:dyDescent="0.2">
      <c r="A234" s="112">
        <v>228</v>
      </c>
      <c r="B234" t="s">
        <v>1474</v>
      </c>
      <c r="C234" t="s">
        <v>1566</v>
      </c>
      <c r="D234" t="s">
        <v>1695</v>
      </c>
      <c r="E234" t="s">
        <v>865</v>
      </c>
      <c r="F234">
        <v>11</v>
      </c>
      <c r="H234" t="b">
        <v>1</v>
      </c>
      <c r="I234" t="b">
        <v>0</v>
      </c>
      <c r="J234" t="b">
        <v>0</v>
      </c>
    </row>
    <row r="235" spans="1:10" x14ac:dyDescent="0.2">
      <c r="A235" s="112">
        <v>233</v>
      </c>
      <c r="B235" t="s">
        <v>1474</v>
      </c>
      <c r="C235" t="s">
        <v>1460</v>
      </c>
      <c r="D235" t="s">
        <v>1700</v>
      </c>
      <c r="E235" t="s">
        <v>865</v>
      </c>
      <c r="F235">
        <v>11</v>
      </c>
      <c r="G235" t="s">
        <v>27</v>
      </c>
      <c r="H235" t="b">
        <v>0</v>
      </c>
      <c r="I235" t="b">
        <v>0</v>
      </c>
      <c r="J235" t="b">
        <v>0</v>
      </c>
    </row>
    <row r="236" spans="1:10" x14ac:dyDescent="0.2">
      <c r="A236" s="112">
        <v>229</v>
      </c>
      <c r="B236" t="s">
        <v>1474</v>
      </c>
      <c r="C236" t="s">
        <v>4</v>
      </c>
      <c r="D236" t="s">
        <v>1696</v>
      </c>
      <c r="E236" t="s">
        <v>865</v>
      </c>
      <c r="F236">
        <v>11</v>
      </c>
      <c r="H236" t="b">
        <v>1</v>
      </c>
      <c r="I236" t="b">
        <v>0</v>
      </c>
      <c r="J236" t="b">
        <v>0</v>
      </c>
    </row>
    <row r="237" spans="1:10" x14ac:dyDescent="0.2">
      <c r="A237" s="112">
        <v>240</v>
      </c>
      <c r="B237" s="112" t="s">
        <v>1127</v>
      </c>
      <c r="C237" s="112" t="s">
        <v>3</v>
      </c>
      <c r="D237" s="112" t="s">
        <v>1532</v>
      </c>
      <c r="E237" s="112" t="s">
        <v>868</v>
      </c>
      <c r="F237" s="112"/>
      <c r="G237" s="112" t="s">
        <v>27</v>
      </c>
      <c r="H237" s="112" t="b">
        <v>0</v>
      </c>
      <c r="I237" s="112" t="b">
        <v>0</v>
      </c>
      <c r="J237" s="112" t="b">
        <v>0</v>
      </c>
    </row>
    <row r="238" spans="1:10" x14ac:dyDescent="0.2">
      <c r="A238" s="112">
        <v>238</v>
      </c>
      <c r="B238" s="112" t="s">
        <v>1127</v>
      </c>
      <c r="C238" s="112" t="s">
        <v>1467</v>
      </c>
      <c r="D238" s="112" t="s">
        <v>1528</v>
      </c>
      <c r="E238" s="112" t="s">
        <v>869</v>
      </c>
      <c r="F238" s="112"/>
      <c r="G238" s="112" t="s">
        <v>27</v>
      </c>
      <c r="H238" s="112" t="b">
        <v>0</v>
      </c>
      <c r="I238" s="112" t="b">
        <v>0</v>
      </c>
      <c r="J238" s="112" t="b">
        <v>0</v>
      </c>
    </row>
    <row r="239" spans="1:10" x14ac:dyDescent="0.2">
      <c r="A239" s="112">
        <v>236</v>
      </c>
      <c r="B239" s="112" t="s">
        <v>1127</v>
      </c>
      <c r="C239" s="112" t="s">
        <v>1</v>
      </c>
      <c r="D239" s="112" t="s">
        <v>1526</v>
      </c>
      <c r="E239" s="112" t="s">
        <v>865</v>
      </c>
      <c r="F239" s="112">
        <v>11</v>
      </c>
      <c r="G239" s="112"/>
      <c r="H239" s="112" t="b">
        <v>1</v>
      </c>
      <c r="I239" s="112" t="b">
        <v>1</v>
      </c>
      <c r="J239" s="112" t="b">
        <v>0</v>
      </c>
    </row>
    <row r="240" spans="1:10" x14ac:dyDescent="0.2">
      <c r="A240" s="112">
        <v>237</v>
      </c>
      <c r="B240" s="112" t="s">
        <v>1127</v>
      </c>
      <c r="C240" s="112" t="s">
        <v>788</v>
      </c>
      <c r="D240" s="112" t="s">
        <v>1527</v>
      </c>
      <c r="E240" s="112" t="s">
        <v>866</v>
      </c>
      <c r="F240" s="112">
        <v>255</v>
      </c>
      <c r="G240" s="112"/>
      <c r="H240" s="112" t="b">
        <v>1</v>
      </c>
      <c r="I240" s="112" t="b">
        <v>0</v>
      </c>
      <c r="J240" s="112" t="b">
        <v>0</v>
      </c>
    </row>
    <row r="241" spans="1:10" x14ac:dyDescent="0.2">
      <c r="A241" s="112">
        <v>239</v>
      </c>
      <c r="B241" s="112" t="s">
        <v>1127</v>
      </c>
      <c r="C241" s="112" t="s">
        <v>1468</v>
      </c>
      <c r="D241" s="112" t="s">
        <v>1530</v>
      </c>
      <c r="E241" s="112" t="s">
        <v>869</v>
      </c>
      <c r="F241" s="112"/>
      <c r="G241" s="112" t="s">
        <v>27</v>
      </c>
      <c r="H241" s="112" t="b">
        <v>0</v>
      </c>
      <c r="I241" s="112" t="b">
        <v>0</v>
      </c>
      <c r="J241" s="112" t="b">
        <v>0</v>
      </c>
    </row>
    <row r="242" spans="1:10" x14ac:dyDescent="0.2">
      <c r="A242" s="112">
        <v>243</v>
      </c>
      <c r="B242" s="63" t="s">
        <v>128</v>
      </c>
      <c r="C242" s="63" t="s">
        <v>867</v>
      </c>
      <c r="D242" s="63" t="s">
        <v>1810</v>
      </c>
      <c r="E242" s="63" t="s">
        <v>866</v>
      </c>
      <c r="F242" s="63">
        <v>20</v>
      </c>
      <c r="G242" s="63"/>
      <c r="H242" s="63" t="b">
        <v>1</v>
      </c>
      <c r="I242" s="63" t="b">
        <v>0</v>
      </c>
      <c r="J242" s="63" t="b">
        <v>0</v>
      </c>
    </row>
    <row r="243" spans="1:10" x14ac:dyDescent="0.2">
      <c r="A243" s="112">
        <v>241</v>
      </c>
      <c r="B243" s="63" t="s">
        <v>128</v>
      </c>
      <c r="C243" s="63" t="s">
        <v>1</v>
      </c>
      <c r="D243" s="63" t="s">
        <v>1808</v>
      </c>
      <c r="E243" s="63" t="s">
        <v>865</v>
      </c>
      <c r="F243" s="63">
        <v>11</v>
      </c>
      <c r="G243" s="63"/>
      <c r="H243" s="63" t="b">
        <v>1</v>
      </c>
      <c r="I243" s="63" t="b">
        <v>1</v>
      </c>
      <c r="J243" s="63" t="b">
        <v>0</v>
      </c>
    </row>
    <row r="244" spans="1:10" x14ac:dyDescent="0.2">
      <c r="A244" s="112">
        <v>242</v>
      </c>
      <c r="B244" s="63" t="s">
        <v>128</v>
      </c>
      <c r="C244" s="63" t="s">
        <v>788</v>
      </c>
      <c r="D244" s="63" t="s">
        <v>1809</v>
      </c>
      <c r="E244" s="63" t="s">
        <v>866</v>
      </c>
      <c r="F244" s="63">
        <v>255</v>
      </c>
      <c r="G244" s="63"/>
      <c r="H244" s="63" t="b">
        <v>1</v>
      </c>
      <c r="I244" s="63" t="b">
        <v>0</v>
      </c>
      <c r="J244" s="63" t="b">
        <v>0</v>
      </c>
    </row>
    <row r="245" spans="1:10" x14ac:dyDescent="0.2">
      <c r="A245" s="112">
        <v>246</v>
      </c>
      <c r="B245" s="112" t="s">
        <v>95</v>
      </c>
      <c r="C245" s="112" t="s">
        <v>867</v>
      </c>
      <c r="D245" s="112" t="s">
        <v>1807</v>
      </c>
      <c r="E245" s="112" t="s">
        <v>866</v>
      </c>
      <c r="F245" s="112">
        <v>20</v>
      </c>
      <c r="G245" s="112"/>
      <c r="H245" s="112" t="b">
        <v>1</v>
      </c>
      <c r="I245" s="112" t="b">
        <v>0</v>
      </c>
      <c r="J245" s="112" t="b">
        <v>0</v>
      </c>
    </row>
    <row r="246" spans="1:10" x14ac:dyDescent="0.2">
      <c r="A246" s="112">
        <v>244</v>
      </c>
      <c r="B246" s="112" t="s">
        <v>95</v>
      </c>
      <c r="C246" s="112" t="s">
        <v>1</v>
      </c>
      <c r="D246" s="112" t="s">
        <v>1805</v>
      </c>
      <c r="E246" s="112" t="s">
        <v>865</v>
      </c>
      <c r="F246" s="112">
        <v>11</v>
      </c>
      <c r="G246" s="112"/>
      <c r="H246" s="112" t="b">
        <v>1</v>
      </c>
      <c r="I246" s="112" t="b">
        <v>1</v>
      </c>
      <c r="J246" s="112" t="b">
        <v>0</v>
      </c>
    </row>
    <row r="247" spans="1:10" x14ac:dyDescent="0.2">
      <c r="A247" s="112">
        <v>245</v>
      </c>
      <c r="B247" s="112" t="s">
        <v>95</v>
      </c>
      <c r="C247" s="112" t="s">
        <v>788</v>
      </c>
      <c r="D247" s="112" t="s">
        <v>1806</v>
      </c>
      <c r="E247" s="112" t="s">
        <v>866</v>
      </c>
      <c r="F247" s="112">
        <v>255</v>
      </c>
      <c r="G247" s="112"/>
      <c r="H247" s="112" t="b">
        <v>1</v>
      </c>
      <c r="I247" s="112" t="b">
        <v>0</v>
      </c>
      <c r="J247" s="112" t="b">
        <v>0</v>
      </c>
    </row>
    <row r="248" spans="1:10" x14ac:dyDescent="0.2">
      <c r="A248" s="112">
        <v>258</v>
      </c>
      <c r="B248" s="112" t="s">
        <v>1014</v>
      </c>
      <c r="C248" s="112" t="s">
        <v>3</v>
      </c>
      <c r="D248" s="112" t="s">
        <v>1822</v>
      </c>
      <c r="E248" s="112" t="s">
        <v>868</v>
      </c>
      <c r="F248" s="112"/>
      <c r="G248" s="112" t="s">
        <v>27</v>
      </c>
      <c r="H248" s="112" t="b">
        <v>0</v>
      </c>
      <c r="I248" s="112" t="b">
        <v>0</v>
      </c>
      <c r="J248" s="112" t="b">
        <v>0</v>
      </c>
    </row>
    <row r="249" spans="1:10" x14ac:dyDescent="0.2">
      <c r="A249" s="112">
        <v>254</v>
      </c>
      <c r="B249" s="112" t="s">
        <v>1014</v>
      </c>
      <c r="C249" s="112" t="s">
        <v>1502</v>
      </c>
      <c r="D249" s="112" t="s">
        <v>1818</v>
      </c>
      <c r="E249" s="112" t="s">
        <v>865</v>
      </c>
      <c r="F249" s="112">
        <v>11</v>
      </c>
      <c r="G249" s="112"/>
      <c r="H249" s="112" t="b">
        <v>1</v>
      </c>
      <c r="I249" s="112" t="b">
        <v>0</v>
      </c>
      <c r="J249" s="112" t="b">
        <v>0</v>
      </c>
    </row>
    <row r="250" spans="1:10" x14ac:dyDescent="0.2">
      <c r="A250" s="112">
        <v>250</v>
      </c>
      <c r="B250" s="112" t="s">
        <v>1014</v>
      </c>
      <c r="C250" s="112" t="s">
        <v>870</v>
      </c>
      <c r="D250" s="112" t="s">
        <v>1814</v>
      </c>
      <c r="E250" s="112" t="s">
        <v>869</v>
      </c>
      <c r="F250" s="112"/>
      <c r="G250" s="112"/>
      <c r="H250" s="112" t="b">
        <v>1</v>
      </c>
      <c r="I250" s="112" t="b">
        <v>0</v>
      </c>
      <c r="J250" s="112" t="b">
        <v>0</v>
      </c>
    </row>
    <row r="251" spans="1:10" x14ac:dyDescent="0.2">
      <c r="A251" s="112">
        <v>251</v>
      </c>
      <c r="B251" s="112" t="s">
        <v>1014</v>
      </c>
      <c r="C251" s="112" t="s">
        <v>965</v>
      </c>
      <c r="D251" s="112" t="s">
        <v>1815</v>
      </c>
      <c r="E251" s="112" t="s">
        <v>865</v>
      </c>
      <c r="F251" s="112">
        <v>11</v>
      </c>
      <c r="G251" s="112" t="s">
        <v>27</v>
      </c>
      <c r="H251" s="112" t="b">
        <v>0</v>
      </c>
      <c r="I251" s="112" t="b">
        <v>0</v>
      </c>
      <c r="J251" s="112" t="b">
        <v>0</v>
      </c>
    </row>
    <row r="252" spans="1:10" x14ac:dyDescent="0.2">
      <c r="A252" s="112">
        <v>247</v>
      </c>
      <c r="B252" s="112" t="s">
        <v>1014</v>
      </c>
      <c r="C252" s="112" t="s">
        <v>1</v>
      </c>
      <c r="D252" s="112" t="s">
        <v>1811</v>
      </c>
      <c r="E252" s="112" t="s">
        <v>865</v>
      </c>
      <c r="F252" s="112">
        <v>11</v>
      </c>
      <c r="G252" s="112"/>
      <c r="H252" s="112" t="b">
        <v>1</v>
      </c>
      <c r="I252" s="112" t="b">
        <v>1</v>
      </c>
      <c r="J252" s="112" t="b">
        <v>0</v>
      </c>
    </row>
    <row r="253" spans="1:10" x14ac:dyDescent="0.2">
      <c r="A253" s="112">
        <v>259</v>
      </c>
      <c r="B253" s="112" t="s">
        <v>1014</v>
      </c>
      <c r="C253" s="112" t="s">
        <v>162</v>
      </c>
      <c r="D253" s="112" t="s">
        <v>1823</v>
      </c>
      <c r="E253" s="112" t="s">
        <v>868</v>
      </c>
      <c r="F253" s="112"/>
      <c r="G253" s="112" t="s">
        <v>27</v>
      </c>
      <c r="H253" s="112" t="b">
        <v>0</v>
      </c>
      <c r="I253" s="112" t="b">
        <v>0</v>
      </c>
      <c r="J253" s="112" t="b">
        <v>0</v>
      </c>
    </row>
    <row r="254" spans="1:10" x14ac:dyDescent="0.2">
      <c r="A254" s="112">
        <v>255</v>
      </c>
      <c r="B254" s="112" t="s">
        <v>1014</v>
      </c>
      <c r="C254" s="112" t="s">
        <v>967</v>
      </c>
      <c r="D254" s="112" t="s">
        <v>1819</v>
      </c>
      <c r="E254" s="112" t="s">
        <v>866</v>
      </c>
      <c r="F254" s="112">
        <v>255</v>
      </c>
      <c r="G254" s="112" t="s">
        <v>27</v>
      </c>
      <c r="H254" s="112" t="b">
        <v>0</v>
      </c>
      <c r="I254" s="112" t="b">
        <v>0</v>
      </c>
      <c r="J254" s="112" t="b">
        <v>0</v>
      </c>
    </row>
    <row r="255" spans="1:10" x14ac:dyDescent="0.2">
      <c r="A255" s="112">
        <v>253</v>
      </c>
      <c r="B255" t="s">
        <v>1014</v>
      </c>
      <c r="C255" t="s">
        <v>946</v>
      </c>
      <c r="D255" t="s">
        <v>1817</v>
      </c>
      <c r="E255" t="s">
        <v>873</v>
      </c>
      <c r="F255" t="s">
        <v>871</v>
      </c>
      <c r="G255">
        <v>0</v>
      </c>
      <c r="H255" t="b">
        <v>1</v>
      </c>
      <c r="I255" t="b">
        <v>0</v>
      </c>
      <c r="J255" t="b">
        <v>0</v>
      </c>
    </row>
    <row r="256" spans="1:10" x14ac:dyDescent="0.2">
      <c r="A256" s="112">
        <v>257</v>
      </c>
      <c r="B256" t="s">
        <v>1014</v>
      </c>
      <c r="C256" t="s">
        <v>1119</v>
      </c>
      <c r="D256" t="s">
        <v>1821</v>
      </c>
      <c r="E256" t="s">
        <v>865</v>
      </c>
      <c r="F256">
        <v>11</v>
      </c>
      <c r="G256" t="s">
        <v>27</v>
      </c>
      <c r="H256" t="b">
        <v>0</v>
      </c>
      <c r="I256" t="b">
        <v>0</v>
      </c>
      <c r="J256" t="b">
        <v>0</v>
      </c>
    </row>
    <row r="257" spans="1:10" x14ac:dyDescent="0.2">
      <c r="A257" s="112">
        <v>252</v>
      </c>
      <c r="B257" t="s">
        <v>1014</v>
      </c>
      <c r="C257" t="s">
        <v>966</v>
      </c>
      <c r="D257" t="s">
        <v>1816</v>
      </c>
      <c r="E257" t="s">
        <v>865</v>
      </c>
      <c r="F257">
        <v>11</v>
      </c>
      <c r="G257" t="s">
        <v>27</v>
      </c>
      <c r="H257" t="b">
        <v>0</v>
      </c>
      <c r="I257" t="b">
        <v>0</v>
      </c>
      <c r="J257" t="b">
        <v>0</v>
      </c>
    </row>
    <row r="258" spans="1:10" x14ac:dyDescent="0.2">
      <c r="A258" s="112">
        <v>256</v>
      </c>
      <c r="B258" t="s">
        <v>1014</v>
      </c>
      <c r="C258" t="s">
        <v>1585</v>
      </c>
      <c r="D258" t="s">
        <v>1820</v>
      </c>
      <c r="E258" t="s">
        <v>865</v>
      </c>
      <c r="F258">
        <v>11</v>
      </c>
      <c r="H258" t="b">
        <v>1</v>
      </c>
      <c r="I258" t="b">
        <v>0</v>
      </c>
      <c r="J258" t="b">
        <v>0</v>
      </c>
    </row>
    <row r="259" spans="1:10" x14ac:dyDescent="0.2">
      <c r="A259" s="112">
        <v>249</v>
      </c>
      <c r="B259" t="s">
        <v>1014</v>
      </c>
      <c r="C259" t="s">
        <v>1583</v>
      </c>
      <c r="D259" t="s">
        <v>1813</v>
      </c>
      <c r="E259" t="s">
        <v>865</v>
      </c>
      <c r="F259">
        <v>11</v>
      </c>
      <c r="H259" t="b">
        <v>1</v>
      </c>
      <c r="I259" t="b">
        <v>0</v>
      </c>
      <c r="J259" t="b">
        <v>0</v>
      </c>
    </row>
    <row r="260" spans="1:10" x14ac:dyDescent="0.2">
      <c r="A260" s="112">
        <v>248</v>
      </c>
      <c r="B260" t="s">
        <v>1014</v>
      </c>
      <c r="C260" t="s">
        <v>4</v>
      </c>
      <c r="D260" t="s">
        <v>1812</v>
      </c>
      <c r="E260" t="s">
        <v>865</v>
      </c>
      <c r="F260">
        <v>11</v>
      </c>
      <c r="H260" t="b">
        <v>1</v>
      </c>
      <c r="I260" t="b">
        <v>0</v>
      </c>
      <c r="J260" t="b">
        <v>0</v>
      </c>
    </row>
    <row r="261" spans="1:10" x14ac:dyDescent="0.2">
      <c r="A261" s="112">
        <v>260</v>
      </c>
      <c r="B261" s="63" t="s">
        <v>1328</v>
      </c>
      <c r="C261" s="63" t="s">
        <v>1</v>
      </c>
      <c r="D261" s="63" t="s">
        <v>1761</v>
      </c>
      <c r="E261" s="63" t="s">
        <v>865</v>
      </c>
      <c r="F261" s="63">
        <v>11</v>
      </c>
      <c r="G261" s="63"/>
      <c r="H261" s="63" t="b">
        <v>1</v>
      </c>
      <c r="I261" s="63" t="b">
        <v>1</v>
      </c>
      <c r="J261" s="63" t="b">
        <v>0</v>
      </c>
    </row>
    <row r="262" spans="1:10" x14ac:dyDescent="0.2">
      <c r="A262" s="112">
        <v>263</v>
      </c>
      <c r="B262" s="63" t="s">
        <v>1328</v>
      </c>
      <c r="C262" s="63" t="s">
        <v>788</v>
      </c>
      <c r="D262" s="63" t="s">
        <v>1764</v>
      </c>
      <c r="E262" s="63" t="s">
        <v>866</v>
      </c>
      <c r="F262" s="63">
        <v>255</v>
      </c>
      <c r="G262" s="63"/>
      <c r="H262" s="63" t="b">
        <v>1</v>
      </c>
      <c r="I262" s="63" t="b">
        <v>0</v>
      </c>
      <c r="J262" s="63" t="b">
        <v>0</v>
      </c>
    </row>
    <row r="263" spans="1:10" x14ac:dyDescent="0.2">
      <c r="A263" s="112">
        <v>264</v>
      </c>
      <c r="B263" s="63" t="s">
        <v>1328</v>
      </c>
      <c r="C263" s="63" t="s">
        <v>1387</v>
      </c>
      <c r="D263" s="63" t="s">
        <v>1765</v>
      </c>
      <c r="E263" s="63" t="s">
        <v>865</v>
      </c>
      <c r="F263" s="63">
        <v>11</v>
      </c>
      <c r="G263" s="63" t="s">
        <v>27</v>
      </c>
      <c r="H263" s="63" t="b">
        <v>0</v>
      </c>
      <c r="I263" s="63" t="b">
        <v>0</v>
      </c>
      <c r="J263" s="63" t="b">
        <v>0</v>
      </c>
    </row>
    <row r="264" spans="1:10" x14ac:dyDescent="0.2">
      <c r="A264" s="112">
        <v>262</v>
      </c>
      <c r="B264" s="63" t="s">
        <v>1328</v>
      </c>
      <c r="C264" s="63" t="s">
        <v>1331</v>
      </c>
      <c r="D264" s="63" t="s">
        <v>1763</v>
      </c>
      <c r="E264" s="63" t="s">
        <v>865</v>
      </c>
      <c r="F264" s="63">
        <v>11</v>
      </c>
      <c r="G264" s="63"/>
      <c r="H264" s="63" t="b">
        <v>1</v>
      </c>
      <c r="I264" s="63" t="b">
        <v>0</v>
      </c>
      <c r="J264" s="63" t="b">
        <v>0</v>
      </c>
    </row>
    <row r="265" spans="1:10" x14ac:dyDescent="0.2">
      <c r="A265" s="112">
        <v>261</v>
      </c>
      <c r="B265" s="63" t="s">
        <v>1328</v>
      </c>
      <c r="C265" s="63" t="s">
        <v>4</v>
      </c>
      <c r="D265" s="63" t="s">
        <v>1762</v>
      </c>
      <c r="E265" s="63" t="s">
        <v>865</v>
      </c>
      <c r="F265" s="63">
        <v>11</v>
      </c>
      <c r="G265" s="63"/>
      <c r="H265" s="63" t="b">
        <v>1</v>
      </c>
      <c r="I265" s="63" t="b">
        <v>0</v>
      </c>
      <c r="J265" s="63" t="b">
        <v>0</v>
      </c>
    </row>
    <row r="266" spans="1:10" x14ac:dyDescent="0.2">
      <c r="A266" s="112">
        <v>270</v>
      </c>
      <c r="B266" s="112" t="s">
        <v>1333</v>
      </c>
      <c r="C266" s="112" t="s">
        <v>1430</v>
      </c>
      <c r="D266" s="112" t="s">
        <v>1759</v>
      </c>
      <c r="E266" s="112" t="s">
        <v>865</v>
      </c>
      <c r="F266" s="112">
        <v>11</v>
      </c>
      <c r="G266" s="112" t="s">
        <v>27</v>
      </c>
      <c r="H266" s="112" t="b">
        <v>0</v>
      </c>
      <c r="I266" s="112" t="b">
        <v>0</v>
      </c>
      <c r="J266" s="112" t="b">
        <v>0</v>
      </c>
    </row>
    <row r="267" spans="1:10" x14ac:dyDescent="0.2">
      <c r="A267" s="112">
        <v>265</v>
      </c>
      <c r="B267" s="112" t="s">
        <v>1333</v>
      </c>
      <c r="C267" s="112" t="s">
        <v>1</v>
      </c>
      <c r="D267" s="112" t="s">
        <v>1754</v>
      </c>
      <c r="E267" s="112" t="s">
        <v>865</v>
      </c>
      <c r="F267" s="112">
        <v>11</v>
      </c>
      <c r="G267" s="112"/>
      <c r="H267" s="112" t="b">
        <v>1</v>
      </c>
      <c r="I267" s="112" t="b">
        <v>1</v>
      </c>
      <c r="J267" s="112" t="b">
        <v>0</v>
      </c>
    </row>
    <row r="268" spans="1:10" x14ac:dyDescent="0.2">
      <c r="A268" s="112">
        <v>271</v>
      </c>
      <c r="B268" s="112" t="s">
        <v>1333</v>
      </c>
      <c r="C268" s="112" t="s">
        <v>967</v>
      </c>
      <c r="D268" s="112" t="s">
        <v>1760</v>
      </c>
      <c r="E268" s="112" t="s">
        <v>866</v>
      </c>
      <c r="F268" s="112">
        <v>255</v>
      </c>
      <c r="G268" s="112" t="s">
        <v>27</v>
      </c>
      <c r="H268" s="112" t="b">
        <v>0</v>
      </c>
      <c r="I268" s="112" t="b">
        <v>0</v>
      </c>
      <c r="J268" s="112" t="b">
        <v>0</v>
      </c>
    </row>
    <row r="269" spans="1:10" x14ac:dyDescent="0.2">
      <c r="A269" s="112">
        <v>269</v>
      </c>
      <c r="B269" s="112" t="s">
        <v>1333</v>
      </c>
      <c r="C269" s="112" t="s">
        <v>946</v>
      </c>
      <c r="D269" s="112" t="s">
        <v>1758</v>
      </c>
      <c r="E269" s="112" t="s">
        <v>873</v>
      </c>
      <c r="F269" s="112" t="s">
        <v>871</v>
      </c>
      <c r="G269" s="112">
        <v>0</v>
      </c>
      <c r="H269" s="112" t="b">
        <v>1</v>
      </c>
      <c r="I269" s="112" t="b">
        <v>0</v>
      </c>
      <c r="J269" s="112" t="b">
        <v>0</v>
      </c>
    </row>
    <row r="270" spans="1:10" x14ac:dyDescent="0.2">
      <c r="A270" s="112">
        <v>268</v>
      </c>
      <c r="B270" t="s">
        <v>1333</v>
      </c>
      <c r="C270" t="s">
        <v>1332</v>
      </c>
      <c r="D270" t="s">
        <v>1757</v>
      </c>
      <c r="E270" t="s">
        <v>865</v>
      </c>
      <c r="F270">
        <v>11</v>
      </c>
      <c r="H270" t="b">
        <v>1</v>
      </c>
      <c r="I270" t="b">
        <v>0</v>
      </c>
      <c r="J270" t="b">
        <v>0</v>
      </c>
    </row>
    <row r="271" spans="1:10" x14ac:dyDescent="0.2">
      <c r="A271" s="112">
        <v>267</v>
      </c>
      <c r="B271" t="s">
        <v>1333</v>
      </c>
      <c r="C271" t="s">
        <v>1334</v>
      </c>
      <c r="D271" t="s">
        <v>1756</v>
      </c>
      <c r="E271" t="s">
        <v>865</v>
      </c>
      <c r="F271">
        <v>11</v>
      </c>
      <c r="H271" t="b">
        <v>1</v>
      </c>
      <c r="I271" t="b">
        <v>0</v>
      </c>
      <c r="J271" t="b">
        <v>0</v>
      </c>
    </row>
    <row r="272" spans="1:10" x14ac:dyDescent="0.2">
      <c r="A272" s="112">
        <v>266</v>
      </c>
      <c r="B272" t="s">
        <v>1333</v>
      </c>
      <c r="C272" t="s">
        <v>4</v>
      </c>
      <c r="D272" t="s">
        <v>1755</v>
      </c>
      <c r="E272" t="s">
        <v>865</v>
      </c>
      <c r="F272">
        <v>11</v>
      </c>
      <c r="H272" t="b">
        <v>1</v>
      </c>
      <c r="I272" t="b">
        <v>0</v>
      </c>
      <c r="J272" t="b">
        <v>0</v>
      </c>
    </row>
    <row r="273" spans="1:10" x14ac:dyDescent="0.2">
      <c r="A273" s="112">
        <v>278</v>
      </c>
      <c r="B273" s="63" t="s">
        <v>1330</v>
      </c>
      <c r="C273" s="63" t="s">
        <v>973</v>
      </c>
      <c r="D273" s="63" t="s">
        <v>1751</v>
      </c>
      <c r="E273" s="63" t="s">
        <v>866</v>
      </c>
      <c r="F273" s="63">
        <v>255</v>
      </c>
      <c r="G273" s="63" t="s">
        <v>27</v>
      </c>
      <c r="H273" s="63" t="b">
        <v>0</v>
      </c>
      <c r="I273" s="63" t="b">
        <v>0</v>
      </c>
      <c r="J273" s="63" t="b">
        <v>0</v>
      </c>
    </row>
    <row r="274" spans="1:10" x14ac:dyDescent="0.2">
      <c r="A274" s="112">
        <v>279</v>
      </c>
      <c r="B274" s="63" t="s">
        <v>1330</v>
      </c>
      <c r="C274" s="63" t="s">
        <v>3</v>
      </c>
      <c r="D274" s="63" t="s">
        <v>1752</v>
      </c>
      <c r="E274" s="63" t="s">
        <v>868</v>
      </c>
      <c r="F274" s="63"/>
      <c r="G274" s="63" t="s">
        <v>27</v>
      </c>
      <c r="H274" s="63" t="b">
        <v>0</v>
      </c>
      <c r="I274" s="63" t="b">
        <v>0</v>
      </c>
      <c r="J274" s="63" t="b">
        <v>0</v>
      </c>
    </row>
    <row r="275" spans="1:10" x14ac:dyDescent="0.2">
      <c r="A275" s="112">
        <v>276</v>
      </c>
      <c r="B275" s="63" t="s">
        <v>1330</v>
      </c>
      <c r="C275" s="63" t="s">
        <v>870</v>
      </c>
      <c r="D275" s="63" t="s">
        <v>1749</v>
      </c>
      <c r="E275" s="63" t="s">
        <v>869</v>
      </c>
      <c r="F275" s="63"/>
      <c r="G275" s="63" t="s">
        <v>27</v>
      </c>
      <c r="H275" s="63" t="b">
        <v>0</v>
      </c>
      <c r="I275" s="63" t="b">
        <v>0</v>
      </c>
      <c r="J275" s="63" t="b">
        <v>0</v>
      </c>
    </row>
    <row r="276" spans="1:10" x14ac:dyDescent="0.2">
      <c r="A276" s="112">
        <v>272</v>
      </c>
      <c r="B276" s="63" t="s">
        <v>1330</v>
      </c>
      <c r="C276" s="63" t="s">
        <v>1</v>
      </c>
      <c r="D276" s="63" t="s">
        <v>1745</v>
      </c>
      <c r="E276" s="63" t="s">
        <v>865</v>
      </c>
      <c r="F276" s="63">
        <v>11</v>
      </c>
      <c r="G276" s="63"/>
      <c r="H276" s="63" t="b">
        <v>1</v>
      </c>
      <c r="I276" s="63" t="b">
        <v>1</v>
      </c>
      <c r="J276" s="63" t="b">
        <v>0</v>
      </c>
    </row>
    <row r="277" spans="1:10" x14ac:dyDescent="0.2">
      <c r="A277" s="112">
        <v>280</v>
      </c>
      <c r="B277" s="63" t="s">
        <v>1330</v>
      </c>
      <c r="C277" s="63" t="s">
        <v>162</v>
      </c>
      <c r="D277" s="63" t="s">
        <v>1753</v>
      </c>
      <c r="E277" s="63" t="s">
        <v>868</v>
      </c>
      <c r="F277" s="63"/>
      <c r="G277" s="63" t="s">
        <v>27</v>
      </c>
      <c r="H277" s="63" t="b">
        <v>0</v>
      </c>
      <c r="I277" s="63" t="b">
        <v>0</v>
      </c>
      <c r="J277" s="63" t="b">
        <v>0</v>
      </c>
    </row>
    <row r="278" spans="1:10" x14ac:dyDescent="0.2">
      <c r="A278" s="112">
        <v>277</v>
      </c>
      <c r="B278" s="63" t="s">
        <v>1330</v>
      </c>
      <c r="C278" s="63" t="s">
        <v>967</v>
      </c>
      <c r="D278" s="63" t="s">
        <v>1750</v>
      </c>
      <c r="E278" s="63" t="s">
        <v>866</v>
      </c>
      <c r="F278" s="63">
        <v>255</v>
      </c>
      <c r="G278" s="63"/>
      <c r="H278" s="63" t="b">
        <v>1</v>
      </c>
      <c r="I278" s="63" t="b">
        <v>0</v>
      </c>
      <c r="J278" s="63" t="b">
        <v>0</v>
      </c>
    </row>
    <row r="279" spans="1:10" x14ac:dyDescent="0.2">
      <c r="A279" s="112">
        <v>275</v>
      </c>
      <c r="B279" s="63" t="s">
        <v>1330</v>
      </c>
      <c r="C279" s="63" t="s">
        <v>946</v>
      </c>
      <c r="D279" s="63" t="s">
        <v>1748</v>
      </c>
      <c r="E279" s="63" t="s">
        <v>873</v>
      </c>
      <c r="F279" s="63" t="s">
        <v>871</v>
      </c>
      <c r="G279" s="63">
        <v>0</v>
      </c>
      <c r="H279" s="63" t="b">
        <v>1</v>
      </c>
      <c r="I279" s="63" t="b">
        <v>0</v>
      </c>
      <c r="J279" s="63" t="b">
        <v>0</v>
      </c>
    </row>
    <row r="280" spans="1:10" x14ac:dyDescent="0.2">
      <c r="A280" s="112">
        <v>273</v>
      </c>
      <c r="B280" s="63" t="s">
        <v>1330</v>
      </c>
      <c r="C280" s="63" t="s">
        <v>1331</v>
      </c>
      <c r="D280" s="63" t="s">
        <v>1746</v>
      </c>
      <c r="E280" s="63" t="s">
        <v>865</v>
      </c>
      <c r="F280" s="63">
        <v>11</v>
      </c>
      <c r="G280" s="63"/>
      <c r="H280" s="63" t="b">
        <v>1</v>
      </c>
      <c r="I280" s="63" t="b">
        <v>0</v>
      </c>
      <c r="J280" s="63" t="b">
        <v>0</v>
      </c>
    </row>
    <row r="281" spans="1:10" x14ac:dyDescent="0.2">
      <c r="A281" s="112">
        <v>274</v>
      </c>
      <c r="B281" s="63" t="s">
        <v>1330</v>
      </c>
      <c r="C281" s="63" t="s">
        <v>4</v>
      </c>
      <c r="D281" s="63" t="s">
        <v>1747</v>
      </c>
      <c r="E281" s="63" t="s">
        <v>865</v>
      </c>
      <c r="F281" s="63">
        <v>11</v>
      </c>
      <c r="G281" s="63"/>
      <c r="H281" s="63" t="b">
        <v>1</v>
      </c>
      <c r="I281" s="63" t="b">
        <v>0</v>
      </c>
      <c r="J281" s="63" t="b">
        <v>0</v>
      </c>
    </row>
    <row r="282" spans="1:10" x14ac:dyDescent="0.2">
      <c r="A282" s="112">
        <v>287</v>
      </c>
      <c r="B282" t="s">
        <v>1327</v>
      </c>
      <c r="C282" t="s">
        <v>3</v>
      </c>
      <c r="D282" t="s">
        <v>1744</v>
      </c>
      <c r="E282" t="s">
        <v>868</v>
      </c>
      <c r="G282" t="s">
        <v>27</v>
      </c>
      <c r="H282" t="b">
        <v>0</v>
      </c>
      <c r="I282" t="b">
        <v>0</v>
      </c>
      <c r="J282" t="b">
        <v>0</v>
      </c>
    </row>
    <row r="283" spans="1:10" x14ac:dyDescent="0.2">
      <c r="A283" s="112">
        <v>284</v>
      </c>
      <c r="B283" t="s">
        <v>1327</v>
      </c>
      <c r="C283" t="s">
        <v>1502</v>
      </c>
      <c r="D283" t="s">
        <v>1741</v>
      </c>
      <c r="E283" t="s">
        <v>865</v>
      </c>
      <c r="F283">
        <v>11</v>
      </c>
      <c r="H283" t="b">
        <v>1</v>
      </c>
      <c r="I283" t="b">
        <v>0</v>
      </c>
      <c r="J283" t="b">
        <v>0</v>
      </c>
    </row>
    <row r="284" spans="1:10" x14ac:dyDescent="0.2">
      <c r="A284" s="112">
        <v>286</v>
      </c>
      <c r="B284" t="s">
        <v>1327</v>
      </c>
      <c r="C284" t="s">
        <v>870</v>
      </c>
      <c r="D284" t="s">
        <v>1743</v>
      </c>
      <c r="E284" t="s">
        <v>869</v>
      </c>
      <c r="G284" t="s">
        <v>27</v>
      </c>
      <c r="H284" t="b">
        <v>0</v>
      </c>
      <c r="I284" t="b">
        <v>0</v>
      </c>
      <c r="J284" t="b">
        <v>0</v>
      </c>
    </row>
    <row r="285" spans="1:10" x14ac:dyDescent="0.2">
      <c r="A285" s="112">
        <v>281</v>
      </c>
      <c r="B285" t="s">
        <v>1327</v>
      </c>
      <c r="C285" t="s">
        <v>1</v>
      </c>
      <c r="D285" t="s">
        <v>1738</v>
      </c>
      <c r="E285" t="s">
        <v>865</v>
      </c>
      <c r="F285">
        <v>11</v>
      </c>
      <c r="H285" t="b">
        <v>1</v>
      </c>
      <c r="I285" t="b">
        <v>1</v>
      </c>
      <c r="J285" t="b">
        <v>0</v>
      </c>
    </row>
    <row r="286" spans="1:10" x14ac:dyDescent="0.2">
      <c r="A286" s="112">
        <v>282</v>
      </c>
      <c r="B286" t="s">
        <v>1327</v>
      </c>
      <c r="C286" t="s">
        <v>788</v>
      </c>
      <c r="D286" t="s">
        <v>1739</v>
      </c>
      <c r="E286" t="s">
        <v>866</v>
      </c>
      <c r="F286">
        <v>255</v>
      </c>
      <c r="H286" t="b">
        <v>1</v>
      </c>
      <c r="I286" t="b">
        <v>0</v>
      </c>
      <c r="J286" t="b">
        <v>0</v>
      </c>
    </row>
    <row r="287" spans="1:10" x14ac:dyDescent="0.2">
      <c r="A287" s="112">
        <v>285</v>
      </c>
      <c r="B287" t="s">
        <v>1327</v>
      </c>
      <c r="C287" t="s">
        <v>967</v>
      </c>
      <c r="D287" t="s">
        <v>1742</v>
      </c>
      <c r="E287" t="s">
        <v>866</v>
      </c>
      <c r="F287">
        <v>255</v>
      </c>
      <c r="G287" t="s">
        <v>27</v>
      </c>
      <c r="H287" t="b">
        <v>0</v>
      </c>
      <c r="I287" t="b">
        <v>0</v>
      </c>
      <c r="J287" t="b">
        <v>0</v>
      </c>
    </row>
    <row r="288" spans="1:10" x14ac:dyDescent="0.2">
      <c r="A288" s="112">
        <v>283</v>
      </c>
      <c r="B288" t="s">
        <v>1327</v>
      </c>
      <c r="C288" t="s">
        <v>4</v>
      </c>
      <c r="D288" t="s">
        <v>1740</v>
      </c>
      <c r="E288" t="s">
        <v>865</v>
      </c>
      <c r="F288">
        <v>11</v>
      </c>
      <c r="H288" t="b">
        <v>1</v>
      </c>
      <c r="I288" t="b">
        <v>0</v>
      </c>
      <c r="J288" t="b">
        <v>0</v>
      </c>
    </row>
  </sheetData>
  <autoFilter ref="B1:J664" xr:uid="{00000000-0009-0000-0000-000002000000}">
    <sortState xmlns:xlrd2="http://schemas.microsoft.com/office/spreadsheetml/2017/richdata2" ref="B2:J288">
      <sortCondition ref="B1:B664"/>
    </sortState>
  </autoFilter>
  <sortState xmlns:xlrd2="http://schemas.microsoft.com/office/spreadsheetml/2017/richdata2" ref="A2:J288">
    <sortCondition ref="B2:B288"/>
    <sortCondition ref="C2:C288"/>
  </sortState>
  <conditionalFormatting sqref="H1:I1">
    <cfRule type="cellIs" dxfId="62" priority="34" operator="equal">
      <formula>TRUE</formula>
    </cfRule>
  </conditionalFormatting>
  <conditionalFormatting sqref="H1:I1">
    <cfRule type="cellIs" dxfId="61" priority="33" operator="equal">
      <formula>TRUE</formula>
    </cfRule>
  </conditionalFormatting>
  <conditionalFormatting sqref="H1:J1">
    <cfRule type="cellIs" dxfId="60" priority="32" operator="equal">
      <formula>TRUE</formula>
    </cfRule>
  </conditionalFormatting>
  <conditionalFormatting sqref="H1:J1">
    <cfRule type="cellIs" dxfId="59" priority="31" operator="equal">
      <formula>TRUE</formula>
    </cfRule>
  </conditionalFormatting>
  <conditionalFormatting sqref="H1:J1">
    <cfRule type="cellIs" dxfId="58" priority="30" operator="equal">
      <formula>TRUE</formula>
    </cfRule>
  </conditionalFormatting>
  <conditionalFormatting sqref="H1:J1">
    <cfRule type="cellIs" dxfId="57" priority="29" operator="equal">
      <formula>TRUE</formula>
    </cfRule>
  </conditionalFormatting>
  <conditionalFormatting sqref="H1:J1">
    <cfRule type="cellIs" dxfId="56" priority="28" operator="equal">
      <formula>TRUE</formula>
    </cfRule>
  </conditionalFormatting>
  <conditionalFormatting sqref="H1:J1">
    <cfRule type="cellIs" dxfId="55" priority="27" operator="equal">
      <formula>TRUE</formula>
    </cfRule>
  </conditionalFormatting>
  <conditionalFormatting sqref="H1:J1">
    <cfRule type="cellIs" dxfId="54" priority="26" operator="equal">
      <formula>TRUE</formula>
    </cfRule>
  </conditionalFormatting>
  <conditionalFormatting sqref="H1:J1">
    <cfRule type="cellIs" dxfId="53" priority="25" operator="equal">
      <formula>TRUE</formula>
    </cfRule>
  </conditionalFormatting>
  <conditionalFormatting sqref="H1:J1">
    <cfRule type="cellIs" dxfId="52" priority="24" operator="equal">
      <formula>TRUE</formula>
    </cfRule>
  </conditionalFormatting>
  <conditionalFormatting sqref="H1:J1">
    <cfRule type="cellIs" dxfId="51" priority="23" operator="equal">
      <formula>TRUE</formula>
    </cfRule>
  </conditionalFormatting>
  <conditionalFormatting sqref="H1:J1">
    <cfRule type="cellIs" dxfId="50" priority="22" operator="equal">
      <formula>TRUE</formula>
    </cfRule>
  </conditionalFormatting>
  <conditionalFormatting sqref="H1:J1">
    <cfRule type="cellIs" dxfId="49" priority="21" operator="equal">
      <formula>TRUE</formula>
    </cfRule>
  </conditionalFormatting>
  <conditionalFormatting sqref="H1:J1">
    <cfRule type="cellIs" dxfId="48" priority="20" operator="equal">
      <formula>TRUE</formula>
    </cfRule>
  </conditionalFormatting>
  <conditionalFormatting sqref="H1:J1">
    <cfRule type="cellIs" dxfId="47" priority="19" operator="equal">
      <formula>TRUE</formula>
    </cfRule>
  </conditionalFormatting>
  <conditionalFormatting sqref="H1:J1">
    <cfRule type="cellIs" dxfId="46" priority="18" operator="equal">
      <formula>TRUE</formula>
    </cfRule>
  </conditionalFormatting>
  <conditionalFormatting sqref="H1:J1">
    <cfRule type="cellIs" dxfId="45" priority="17" operator="equal">
      <formula>TRUE</formula>
    </cfRule>
  </conditionalFormatting>
  <conditionalFormatting sqref="H1:J1">
    <cfRule type="cellIs" dxfId="44" priority="16" operator="equal">
      <formula>TRUE</formula>
    </cfRule>
  </conditionalFormatting>
  <conditionalFormatting sqref="H1:J1">
    <cfRule type="cellIs" dxfId="43" priority="15" operator="equal">
      <formula>TRUE</formula>
    </cfRule>
  </conditionalFormatting>
  <conditionalFormatting sqref="H1:J1">
    <cfRule type="cellIs" dxfId="42" priority="14" operator="equal">
      <formula>TRUE</formula>
    </cfRule>
  </conditionalFormatting>
  <conditionalFormatting sqref="H1:J1">
    <cfRule type="cellIs" dxfId="41" priority="13" operator="equal">
      <formula>TRUE</formula>
    </cfRule>
  </conditionalFormatting>
  <conditionalFormatting sqref="H1:J1">
    <cfRule type="cellIs" dxfId="40" priority="12" operator="equal">
      <formula>TRUE</formula>
    </cfRule>
  </conditionalFormatting>
  <conditionalFormatting sqref="H1:J1">
    <cfRule type="cellIs" dxfId="39" priority="11" operator="equal">
      <formula>TRUE</formula>
    </cfRule>
  </conditionalFormatting>
  <conditionalFormatting sqref="H1:J1">
    <cfRule type="cellIs" dxfId="38" priority="10" operator="equal">
      <formula>TRUE</formula>
    </cfRule>
  </conditionalFormatting>
  <conditionalFormatting sqref="H1:J1">
    <cfRule type="cellIs" dxfId="37" priority="9" operator="equal">
      <formula>TRUE</formula>
    </cfRule>
  </conditionalFormatting>
  <conditionalFormatting sqref="H1:J1">
    <cfRule type="cellIs" dxfId="36" priority="8" operator="equal">
      <formula>TRUE</formula>
    </cfRule>
  </conditionalFormatting>
  <conditionalFormatting sqref="H1:J1">
    <cfRule type="cellIs" dxfId="35" priority="7" operator="equal">
      <formula>TRUE</formula>
    </cfRule>
  </conditionalFormatting>
  <conditionalFormatting sqref="H1:J1">
    <cfRule type="cellIs" dxfId="34" priority="6" operator="equal">
      <formula>TRUE</formula>
    </cfRule>
  </conditionalFormatting>
  <conditionalFormatting sqref="H1:J1">
    <cfRule type="cellIs" dxfId="33" priority="5" operator="equal">
      <formula>TRUE</formula>
    </cfRule>
  </conditionalFormatting>
  <conditionalFormatting sqref="H1:J1">
    <cfRule type="cellIs" dxfId="32" priority="4" operator="equal">
      <formula>TRUE</formula>
    </cfRule>
  </conditionalFormatting>
  <conditionalFormatting sqref="H1:J1">
    <cfRule type="cellIs" dxfId="31" priority="3" operator="equal">
      <formula>TRUE</formula>
    </cfRule>
  </conditionalFormatting>
  <conditionalFormatting sqref="H1:J1">
    <cfRule type="cellIs" dxfId="30" priority="2" operator="equal">
      <formula>TRUE</formula>
    </cfRule>
  </conditionalFormatting>
  <conditionalFormatting sqref="H1:J1048576">
    <cfRule type="cellIs" dxfId="29" priority="1" operator="equal">
      <formula>TRUE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A497"/>
  <sheetViews>
    <sheetView tabSelected="1" workbookViewId="0">
      <selection activeCell="C274" sqref="C274"/>
    </sheetView>
  </sheetViews>
  <sheetFormatPr defaultRowHeight="12.75" x14ac:dyDescent="0.2"/>
  <sheetData>
    <row r="1" spans="1:1" x14ac:dyDescent="0.2">
      <c r="A1" s="41" t="s">
        <v>1287</v>
      </c>
    </row>
    <row r="2" spans="1:1" x14ac:dyDescent="0.2">
      <c r="A2" s="41" t="s">
        <v>1288</v>
      </c>
    </row>
    <row r="3" spans="1:1" x14ac:dyDescent="0.2">
      <c r="A3" s="42" t="s">
        <v>238</v>
      </c>
    </row>
    <row r="4" spans="1:1" x14ac:dyDescent="0.2">
      <c r="A4" s="42" t="s">
        <v>253</v>
      </c>
    </row>
    <row r="5" spans="1:1" x14ac:dyDescent="0.2">
      <c r="A5" s="42" t="s">
        <v>239</v>
      </c>
    </row>
    <row r="6" spans="1:1" x14ac:dyDescent="0.2">
      <c r="A6" s="42" t="s">
        <v>972</v>
      </c>
    </row>
    <row r="7" spans="1:1" x14ac:dyDescent="0.2">
      <c r="A7" s="42" t="s">
        <v>244</v>
      </c>
    </row>
    <row r="8" spans="1:1" x14ac:dyDescent="0.2">
      <c r="A8" s="42" t="s">
        <v>959</v>
      </c>
    </row>
    <row r="9" spans="1:1" x14ac:dyDescent="0.2">
      <c r="A9" s="42" t="s">
        <v>1504</v>
      </c>
    </row>
    <row r="10" spans="1:1" x14ac:dyDescent="0.2">
      <c r="A10" s="42" t="s">
        <v>1505</v>
      </c>
    </row>
    <row r="11" spans="1:1" x14ac:dyDescent="0.2">
      <c r="A11" s="42" t="s">
        <v>1506</v>
      </c>
    </row>
    <row r="12" spans="1:1" x14ac:dyDescent="0.2">
      <c r="A12" s="42" t="s">
        <v>1508</v>
      </c>
    </row>
    <row r="13" spans="1:1" x14ac:dyDescent="0.2">
      <c r="A13" s="42" t="s">
        <v>273</v>
      </c>
    </row>
    <row r="14" spans="1:1" x14ac:dyDescent="0.2">
      <c r="A14" s="41" t="s">
        <v>274</v>
      </c>
    </row>
    <row r="15" spans="1:1" x14ac:dyDescent="0.2">
      <c r="A15" s="41"/>
    </row>
    <row r="16" spans="1:1" x14ac:dyDescent="0.2">
      <c r="A16" s="41" t="s">
        <v>1509</v>
      </c>
    </row>
    <row r="17" spans="1:1" x14ac:dyDescent="0.2">
      <c r="A17" s="41" t="s">
        <v>1510</v>
      </c>
    </row>
    <row r="18" spans="1:1" x14ac:dyDescent="0.2">
      <c r="A18" s="42" t="s">
        <v>238</v>
      </c>
    </row>
    <row r="19" spans="1:1" x14ac:dyDescent="0.2">
      <c r="A19" s="42" t="s">
        <v>239</v>
      </c>
    </row>
    <row r="20" spans="1:1" x14ac:dyDescent="0.2">
      <c r="A20" s="42" t="s">
        <v>240</v>
      </c>
    </row>
    <row r="21" spans="1:1" x14ac:dyDescent="0.2">
      <c r="A21" s="42" t="s">
        <v>273</v>
      </c>
    </row>
    <row r="22" spans="1:1" x14ac:dyDescent="0.2">
      <c r="A22" s="41" t="s">
        <v>274</v>
      </c>
    </row>
    <row r="23" spans="1:1" x14ac:dyDescent="0.2">
      <c r="A23" s="41"/>
    </row>
    <row r="24" spans="1:1" x14ac:dyDescent="0.2">
      <c r="A24" s="41" t="s">
        <v>1512</v>
      </c>
    </row>
    <row r="25" spans="1:1" x14ac:dyDescent="0.2">
      <c r="A25" s="41" t="s">
        <v>1513</v>
      </c>
    </row>
    <row r="26" spans="1:1" x14ac:dyDescent="0.2">
      <c r="A26" s="42" t="s">
        <v>238</v>
      </c>
    </row>
    <row r="27" spans="1:1" x14ac:dyDescent="0.2">
      <c r="A27" s="42" t="s">
        <v>239</v>
      </c>
    </row>
    <row r="28" spans="1:1" x14ac:dyDescent="0.2">
      <c r="A28" s="42" t="s">
        <v>240</v>
      </c>
    </row>
    <row r="29" spans="1:1" x14ac:dyDescent="0.2">
      <c r="A29" s="42" t="s">
        <v>273</v>
      </c>
    </row>
    <row r="30" spans="1:1" x14ac:dyDescent="0.2">
      <c r="A30" s="41" t="s">
        <v>274</v>
      </c>
    </row>
    <row r="31" spans="1:1" x14ac:dyDescent="0.2">
      <c r="A31" s="41"/>
    </row>
    <row r="32" spans="1:1" x14ac:dyDescent="0.2">
      <c r="A32" s="41" t="s">
        <v>1103</v>
      </c>
    </row>
    <row r="33" spans="1:1" x14ac:dyDescent="0.2">
      <c r="A33" s="41" t="s">
        <v>1104</v>
      </c>
    </row>
    <row r="34" spans="1:1" x14ac:dyDescent="0.2">
      <c r="A34" s="42" t="s">
        <v>238</v>
      </c>
    </row>
    <row r="35" spans="1:1" x14ac:dyDescent="0.2">
      <c r="A35" s="42" t="s">
        <v>239</v>
      </c>
    </row>
    <row r="36" spans="1:1" x14ac:dyDescent="0.2">
      <c r="A36" s="42" t="s">
        <v>257</v>
      </c>
    </row>
    <row r="37" spans="1:1" x14ac:dyDescent="0.2">
      <c r="A37" s="42" t="s">
        <v>1105</v>
      </c>
    </row>
    <row r="38" spans="1:1" x14ac:dyDescent="0.2">
      <c r="A38" s="42" t="s">
        <v>273</v>
      </c>
    </row>
    <row r="39" spans="1:1" x14ac:dyDescent="0.2">
      <c r="A39" s="41" t="s">
        <v>274</v>
      </c>
    </row>
    <row r="40" spans="1:1" x14ac:dyDescent="0.2">
      <c r="A40" s="41"/>
    </row>
    <row r="41" spans="1:1" x14ac:dyDescent="0.2">
      <c r="A41" s="41" t="s">
        <v>1110</v>
      </c>
    </row>
    <row r="42" spans="1:1" x14ac:dyDescent="0.2">
      <c r="A42" s="41" t="s">
        <v>1111</v>
      </c>
    </row>
    <row r="43" spans="1:1" x14ac:dyDescent="0.2">
      <c r="A43" s="42" t="s">
        <v>238</v>
      </c>
    </row>
    <row r="44" spans="1:1" x14ac:dyDescent="0.2">
      <c r="A44" s="42" t="s">
        <v>1523</v>
      </c>
    </row>
    <row r="45" spans="1:1" x14ac:dyDescent="0.2">
      <c r="A45" s="42" t="s">
        <v>1112</v>
      </c>
    </row>
    <row r="46" spans="1:1" x14ac:dyDescent="0.2">
      <c r="A46" s="42" t="s">
        <v>1105</v>
      </c>
    </row>
    <row r="47" spans="1:1" x14ac:dyDescent="0.2">
      <c r="A47" s="42" t="s">
        <v>273</v>
      </c>
    </row>
    <row r="48" spans="1:1" x14ac:dyDescent="0.2">
      <c r="A48" s="41" t="s">
        <v>274</v>
      </c>
    </row>
    <row r="49" spans="1:1" x14ac:dyDescent="0.2">
      <c r="A49" s="41"/>
    </row>
    <row r="50" spans="1:1" x14ac:dyDescent="0.2">
      <c r="A50" s="41" t="s">
        <v>1135</v>
      </c>
    </row>
    <row r="51" spans="1:1" x14ac:dyDescent="0.2">
      <c r="A51" s="41" t="s">
        <v>1136</v>
      </c>
    </row>
    <row r="52" spans="1:1" x14ac:dyDescent="0.2">
      <c r="A52" s="42" t="s">
        <v>238</v>
      </c>
    </row>
    <row r="53" spans="1:1" x14ac:dyDescent="0.2">
      <c r="A53" s="42" t="s">
        <v>239</v>
      </c>
    </row>
    <row r="54" spans="1:1" x14ac:dyDescent="0.2">
      <c r="A54" s="42" t="s">
        <v>1529</v>
      </c>
    </row>
    <row r="55" spans="1:1" x14ac:dyDescent="0.2">
      <c r="A55" s="42" t="s">
        <v>1531</v>
      </c>
    </row>
    <row r="56" spans="1:1" x14ac:dyDescent="0.2">
      <c r="A56" s="42" t="s">
        <v>242</v>
      </c>
    </row>
    <row r="57" spans="1:1" x14ac:dyDescent="0.2">
      <c r="A57" s="42" t="s">
        <v>273</v>
      </c>
    </row>
    <row r="58" spans="1:1" x14ac:dyDescent="0.2">
      <c r="A58" s="41" t="s">
        <v>274</v>
      </c>
    </row>
    <row r="59" spans="1:1" x14ac:dyDescent="0.2">
      <c r="A59" s="41"/>
    </row>
    <row r="60" spans="1:1" x14ac:dyDescent="0.2">
      <c r="A60" s="41" t="s">
        <v>1087</v>
      </c>
    </row>
    <row r="61" spans="1:1" x14ac:dyDescent="0.2">
      <c r="A61" s="41" t="s">
        <v>1088</v>
      </c>
    </row>
    <row r="62" spans="1:1" x14ac:dyDescent="0.2">
      <c r="A62" s="42" t="s">
        <v>238</v>
      </c>
    </row>
    <row r="63" spans="1:1" x14ac:dyDescent="0.2">
      <c r="A63" s="42" t="s">
        <v>253</v>
      </c>
    </row>
    <row r="64" spans="1:1" x14ac:dyDescent="0.2">
      <c r="A64" s="42" t="s">
        <v>239</v>
      </c>
    </row>
    <row r="65" spans="1:1" x14ac:dyDescent="0.2">
      <c r="A65" s="42" t="s">
        <v>1537</v>
      </c>
    </row>
    <row r="66" spans="1:1" x14ac:dyDescent="0.2">
      <c r="A66" s="42" t="s">
        <v>1523</v>
      </c>
    </row>
    <row r="67" spans="1:1" x14ac:dyDescent="0.2">
      <c r="A67" s="42" t="s">
        <v>273</v>
      </c>
    </row>
    <row r="68" spans="1:1" x14ac:dyDescent="0.2">
      <c r="A68" s="41" t="s">
        <v>274</v>
      </c>
    </row>
    <row r="69" spans="1:1" x14ac:dyDescent="0.2">
      <c r="A69" s="41"/>
    </row>
    <row r="70" spans="1:1" x14ac:dyDescent="0.2">
      <c r="A70" s="41" t="s">
        <v>1097</v>
      </c>
    </row>
    <row r="71" spans="1:1" x14ac:dyDescent="0.2">
      <c r="A71" s="41" t="s">
        <v>1098</v>
      </c>
    </row>
    <row r="72" spans="1:1" x14ac:dyDescent="0.2">
      <c r="A72" s="42" t="s">
        <v>238</v>
      </c>
    </row>
    <row r="73" spans="1:1" x14ac:dyDescent="0.2">
      <c r="A73" s="42" t="s">
        <v>968</v>
      </c>
    </row>
    <row r="74" spans="1:1" x14ac:dyDescent="0.2">
      <c r="A74" s="42" t="s">
        <v>253</v>
      </c>
    </row>
    <row r="75" spans="1:1" x14ac:dyDescent="0.2">
      <c r="A75" s="42" t="s">
        <v>961</v>
      </c>
    </row>
    <row r="76" spans="1:1" x14ac:dyDescent="0.2">
      <c r="A76" s="42" t="s">
        <v>949</v>
      </c>
    </row>
    <row r="77" spans="1:1" x14ac:dyDescent="0.2">
      <c r="A77" s="42" t="s">
        <v>1539</v>
      </c>
    </row>
    <row r="78" spans="1:1" x14ac:dyDescent="0.2">
      <c r="A78" s="42" t="s">
        <v>1540</v>
      </c>
    </row>
    <row r="79" spans="1:1" x14ac:dyDescent="0.2">
      <c r="A79" s="42" t="s">
        <v>972</v>
      </c>
    </row>
    <row r="80" spans="1:1" x14ac:dyDescent="0.2">
      <c r="A80" s="42" t="s">
        <v>953</v>
      </c>
    </row>
    <row r="81" spans="1:1" x14ac:dyDescent="0.2">
      <c r="A81" s="42" t="s">
        <v>273</v>
      </c>
    </row>
    <row r="82" spans="1:1" x14ac:dyDescent="0.2">
      <c r="A82" s="41" t="s">
        <v>274</v>
      </c>
    </row>
    <row r="83" spans="1:1" x14ac:dyDescent="0.2">
      <c r="A83" s="41"/>
    </row>
    <row r="84" spans="1:1" x14ac:dyDescent="0.2">
      <c r="A84" s="41" t="s">
        <v>1598</v>
      </c>
    </row>
    <row r="85" spans="1:1" x14ac:dyDescent="0.2">
      <c r="A85" s="41" t="s">
        <v>1599</v>
      </c>
    </row>
    <row r="86" spans="1:1" x14ac:dyDescent="0.2">
      <c r="A86" s="42" t="s">
        <v>238</v>
      </c>
    </row>
    <row r="87" spans="1:1" x14ac:dyDescent="0.2">
      <c r="A87" s="42" t="s">
        <v>253</v>
      </c>
    </row>
    <row r="88" spans="1:1" x14ac:dyDescent="0.2">
      <c r="A88" s="42" t="s">
        <v>239</v>
      </c>
    </row>
    <row r="89" spans="1:1" x14ac:dyDescent="0.2">
      <c r="A89" s="42" t="s">
        <v>1537</v>
      </c>
    </row>
    <row r="90" spans="1:1" x14ac:dyDescent="0.2">
      <c r="A90" s="42" t="s">
        <v>1523</v>
      </c>
    </row>
    <row r="91" spans="1:1" x14ac:dyDescent="0.2">
      <c r="A91" s="42" t="s">
        <v>273</v>
      </c>
    </row>
    <row r="92" spans="1:1" x14ac:dyDescent="0.2">
      <c r="A92" s="41" t="s">
        <v>274</v>
      </c>
    </row>
    <row r="93" spans="1:1" x14ac:dyDescent="0.2">
      <c r="A93" s="41"/>
    </row>
    <row r="94" spans="1:1" x14ac:dyDescent="0.2">
      <c r="A94" s="41" t="s">
        <v>1826</v>
      </c>
    </row>
    <row r="95" spans="1:1" x14ac:dyDescent="0.2">
      <c r="A95" s="41" t="s">
        <v>1827</v>
      </c>
    </row>
    <row r="96" spans="1:1" x14ac:dyDescent="0.2">
      <c r="A96" s="42" t="s">
        <v>238</v>
      </c>
    </row>
    <row r="97" spans="1:1" x14ac:dyDescent="0.2">
      <c r="A97" s="42" t="s">
        <v>1603</v>
      </c>
    </row>
    <row r="98" spans="1:1" x14ac:dyDescent="0.2">
      <c r="A98" s="42" t="s">
        <v>253</v>
      </c>
    </row>
    <row r="99" spans="1:1" x14ac:dyDescent="0.2">
      <c r="A99" s="42" t="s">
        <v>961</v>
      </c>
    </row>
    <row r="100" spans="1:1" x14ac:dyDescent="0.2">
      <c r="A100" s="42" t="s">
        <v>949</v>
      </c>
    </row>
    <row r="101" spans="1:1" x14ac:dyDescent="0.2">
      <c r="A101" s="42" t="s">
        <v>1539</v>
      </c>
    </row>
    <row r="102" spans="1:1" x14ac:dyDescent="0.2">
      <c r="A102" s="42" t="s">
        <v>1540</v>
      </c>
    </row>
    <row r="103" spans="1:1" x14ac:dyDescent="0.2">
      <c r="A103" s="42" t="s">
        <v>972</v>
      </c>
    </row>
    <row r="104" spans="1:1" x14ac:dyDescent="0.2">
      <c r="A104" s="42" t="s">
        <v>953</v>
      </c>
    </row>
    <row r="105" spans="1:1" x14ac:dyDescent="0.2">
      <c r="A105" s="42" t="s">
        <v>273</v>
      </c>
    </row>
    <row r="106" spans="1:1" x14ac:dyDescent="0.2">
      <c r="A106" s="41" t="s">
        <v>274</v>
      </c>
    </row>
    <row r="107" spans="1:1" x14ac:dyDescent="0.2">
      <c r="A107" s="41"/>
    </row>
    <row r="108" spans="1:1" x14ac:dyDescent="0.2">
      <c r="A108" s="41" t="s">
        <v>1611</v>
      </c>
    </row>
    <row r="109" spans="1:1" x14ac:dyDescent="0.2">
      <c r="A109" s="41" t="s">
        <v>1612</v>
      </c>
    </row>
    <row r="110" spans="1:1" x14ac:dyDescent="0.2">
      <c r="A110" s="42" t="s">
        <v>238</v>
      </c>
    </row>
    <row r="111" spans="1:1" x14ac:dyDescent="0.2">
      <c r="A111" s="42" t="s">
        <v>253</v>
      </c>
    </row>
    <row r="112" spans="1:1" x14ac:dyDescent="0.2">
      <c r="A112" s="42" t="s">
        <v>239</v>
      </c>
    </row>
    <row r="113" spans="1:1" x14ac:dyDescent="0.2">
      <c r="A113" s="42" t="s">
        <v>1537</v>
      </c>
    </row>
    <row r="114" spans="1:1" x14ac:dyDescent="0.2">
      <c r="A114" s="42" t="s">
        <v>1523</v>
      </c>
    </row>
    <row r="115" spans="1:1" x14ac:dyDescent="0.2">
      <c r="A115" s="42" t="s">
        <v>273</v>
      </c>
    </row>
    <row r="116" spans="1:1" x14ac:dyDescent="0.2">
      <c r="A116" s="41" t="s">
        <v>274</v>
      </c>
    </row>
    <row r="117" spans="1:1" x14ac:dyDescent="0.2">
      <c r="A117" s="41"/>
    </row>
    <row r="118" spans="1:1" x14ac:dyDescent="0.2">
      <c r="A118" s="41" t="s">
        <v>1828</v>
      </c>
    </row>
    <row r="119" spans="1:1" x14ac:dyDescent="0.2">
      <c r="A119" s="41" t="s">
        <v>1829</v>
      </c>
    </row>
    <row r="120" spans="1:1" x14ac:dyDescent="0.2">
      <c r="A120" s="42" t="s">
        <v>238</v>
      </c>
    </row>
    <row r="121" spans="1:1" x14ac:dyDescent="0.2">
      <c r="A121" s="42" t="s">
        <v>1618</v>
      </c>
    </row>
    <row r="122" spans="1:1" x14ac:dyDescent="0.2">
      <c r="A122" s="42" t="s">
        <v>253</v>
      </c>
    </row>
    <row r="123" spans="1:1" x14ac:dyDescent="0.2">
      <c r="A123" s="42" t="s">
        <v>961</v>
      </c>
    </row>
    <row r="124" spans="1:1" x14ac:dyDescent="0.2">
      <c r="A124" s="42" t="s">
        <v>949</v>
      </c>
    </row>
    <row r="125" spans="1:1" x14ac:dyDescent="0.2">
      <c r="A125" s="42" t="s">
        <v>1539</v>
      </c>
    </row>
    <row r="126" spans="1:1" x14ac:dyDescent="0.2">
      <c r="A126" s="42" t="s">
        <v>1540</v>
      </c>
    </row>
    <row r="127" spans="1:1" x14ac:dyDescent="0.2">
      <c r="A127" s="42" t="s">
        <v>972</v>
      </c>
    </row>
    <row r="128" spans="1:1" x14ac:dyDescent="0.2">
      <c r="A128" s="42" t="s">
        <v>953</v>
      </c>
    </row>
    <row r="129" spans="1:1" x14ac:dyDescent="0.2">
      <c r="A129" s="42" t="s">
        <v>273</v>
      </c>
    </row>
    <row r="130" spans="1:1" x14ac:dyDescent="0.2">
      <c r="A130" s="41" t="s">
        <v>274</v>
      </c>
    </row>
    <row r="131" spans="1:1" x14ac:dyDescent="0.2">
      <c r="A131" s="41"/>
    </row>
    <row r="132" spans="1:1" x14ac:dyDescent="0.2">
      <c r="A132" s="41" t="s">
        <v>1543</v>
      </c>
    </row>
    <row r="133" spans="1:1" x14ac:dyDescent="0.2">
      <c r="A133" s="41" t="s">
        <v>1544</v>
      </c>
    </row>
    <row r="134" spans="1:1" x14ac:dyDescent="0.2">
      <c r="A134" s="42" t="s">
        <v>238</v>
      </c>
    </row>
    <row r="135" spans="1:1" x14ac:dyDescent="0.2">
      <c r="A135" s="42" t="s">
        <v>253</v>
      </c>
    </row>
    <row r="136" spans="1:1" x14ac:dyDescent="0.2">
      <c r="A136" s="42" t="s">
        <v>239</v>
      </c>
    </row>
    <row r="137" spans="1:1" x14ac:dyDescent="0.2">
      <c r="A137" s="42" t="s">
        <v>1537</v>
      </c>
    </row>
    <row r="138" spans="1:1" x14ac:dyDescent="0.2">
      <c r="A138" s="42" t="s">
        <v>1523</v>
      </c>
    </row>
    <row r="139" spans="1:1" x14ac:dyDescent="0.2">
      <c r="A139" s="42" t="s">
        <v>273</v>
      </c>
    </row>
    <row r="140" spans="1:1" x14ac:dyDescent="0.2">
      <c r="A140" s="41" t="s">
        <v>274</v>
      </c>
    </row>
    <row r="141" spans="1:1" x14ac:dyDescent="0.2">
      <c r="A141" s="41"/>
    </row>
    <row r="142" spans="1:1" x14ac:dyDescent="0.2">
      <c r="A142" s="41" t="s">
        <v>1049</v>
      </c>
    </row>
    <row r="143" spans="1:1" x14ac:dyDescent="0.2">
      <c r="A143" s="41" t="s">
        <v>1050</v>
      </c>
    </row>
    <row r="144" spans="1:1" x14ac:dyDescent="0.2">
      <c r="A144" s="42" t="s">
        <v>238</v>
      </c>
    </row>
    <row r="145" spans="1:1" x14ac:dyDescent="0.2">
      <c r="A145" s="42" t="s">
        <v>239</v>
      </c>
    </row>
    <row r="146" spans="1:1" x14ac:dyDescent="0.2">
      <c r="A146" s="42" t="s">
        <v>240</v>
      </c>
    </row>
    <row r="147" spans="1:1" x14ac:dyDescent="0.2">
      <c r="A147" s="42" t="s">
        <v>273</v>
      </c>
    </row>
    <row r="148" spans="1:1" x14ac:dyDescent="0.2">
      <c r="A148" s="41" t="s">
        <v>274</v>
      </c>
    </row>
    <row r="149" spans="1:1" x14ac:dyDescent="0.2">
      <c r="A149" s="41"/>
    </row>
    <row r="150" spans="1:1" x14ac:dyDescent="0.2">
      <c r="A150" s="41" t="s">
        <v>1545</v>
      </c>
    </row>
    <row r="151" spans="1:1" x14ac:dyDescent="0.2">
      <c r="A151" s="41" t="s">
        <v>1546</v>
      </c>
    </row>
    <row r="152" spans="1:1" x14ac:dyDescent="0.2">
      <c r="A152" s="42" t="s">
        <v>238</v>
      </c>
    </row>
    <row r="153" spans="1:1" x14ac:dyDescent="0.2">
      <c r="A153" s="42" t="s">
        <v>239</v>
      </c>
    </row>
    <row r="154" spans="1:1" x14ac:dyDescent="0.2">
      <c r="A154" s="42" t="s">
        <v>240</v>
      </c>
    </row>
    <row r="155" spans="1:1" x14ac:dyDescent="0.2">
      <c r="A155" s="42" t="s">
        <v>273</v>
      </c>
    </row>
    <row r="156" spans="1:1" x14ac:dyDescent="0.2">
      <c r="A156" s="41" t="s">
        <v>274</v>
      </c>
    </row>
    <row r="157" spans="1:1" x14ac:dyDescent="0.2">
      <c r="A157" s="41"/>
    </row>
    <row r="158" spans="1:1" x14ac:dyDescent="0.2">
      <c r="A158" s="41" t="s">
        <v>1059</v>
      </c>
    </row>
    <row r="159" spans="1:1" x14ac:dyDescent="0.2">
      <c r="A159" s="41" t="s">
        <v>1060</v>
      </c>
    </row>
    <row r="160" spans="1:1" x14ac:dyDescent="0.2">
      <c r="A160" s="42" t="s">
        <v>238</v>
      </c>
    </row>
    <row r="161" spans="1:1" x14ac:dyDescent="0.2">
      <c r="A161" s="42" t="s">
        <v>239</v>
      </c>
    </row>
    <row r="162" spans="1:1" x14ac:dyDescent="0.2">
      <c r="A162" s="42" t="s">
        <v>253</v>
      </c>
    </row>
    <row r="163" spans="1:1" x14ac:dyDescent="0.2">
      <c r="A163" s="42" t="s">
        <v>1548</v>
      </c>
    </row>
    <row r="164" spans="1:1" x14ac:dyDescent="0.2">
      <c r="A164" s="42" t="s">
        <v>1589</v>
      </c>
    </row>
    <row r="165" spans="1:1" x14ac:dyDescent="0.2">
      <c r="A165" s="42" t="s">
        <v>1400</v>
      </c>
    </row>
    <row r="166" spans="1:1" x14ac:dyDescent="0.2">
      <c r="A166" s="42" t="s">
        <v>938</v>
      </c>
    </row>
    <row r="167" spans="1:1" x14ac:dyDescent="0.2">
      <c r="A167" s="42" t="s">
        <v>1550</v>
      </c>
    </row>
    <row r="168" spans="1:1" x14ac:dyDescent="0.2">
      <c r="A168" s="42" t="s">
        <v>1551</v>
      </c>
    </row>
    <row r="169" spans="1:1" x14ac:dyDescent="0.2">
      <c r="A169" s="42" t="s">
        <v>952</v>
      </c>
    </row>
    <row r="170" spans="1:1" x14ac:dyDescent="0.2">
      <c r="A170" s="42" t="s">
        <v>242</v>
      </c>
    </row>
    <row r="171" spans="1:1" x14ac:dyDescent="0.2">
      <c r="A171" s="42" t="s">
        <v>953</v>
      </c>
    </row>
    <row r="172" spans="1:1" x14ac:dyDescent="0.2">
      <c r="A172" s="42" t="s">
        <v>273</v>
      </c>
    </row>
    <row r="173" spans="1:1" x14ac:dyDescent="0.2">
      <c r="A173" s="41" t="s">
        <v>274</v>
      </c>
    </row>
    <row r="174" spans="1:1" x14ac:dyDescent="0.2">
      <c r="A174" s="41"/>
    </row>
    <row r="175" spans="1:1" x14ac:dyDescent="0.2">
      <c r="A175" s="41" t="s">
        <v>1073</v>
      </c>
    </row>
    <row r="176" spans="1:1" x14ac:dyDescent="0.2">
      <c r="A176" s="41" t="s">
        <v>1074</v>
      </c>
    </row>
    <row r="177" spans="1:1" x14ac:dyDescent="0.2">
      <c r="A177" s="42" t="s">
        <v>238</v>
      </c>
    </row>
    <row r="178" spans="1:1" x14ac:dyDescent="0.2">
      <c r="A178" s="42" t="s">
        <v>941</v>
      </c>
    </row>
    <row r="179" spans="1:1" x14ac:dyDescent="0.2">
      <c r="A179" s="42" t="s">
        <v>253</v>
      </c>
    </row>
    <row r="180" spans="1:1" x14ac:dyDescent="0.2">
      <c r="A180" s="42" t="s">
        <v>942</v>
      </c>
    </row>
    <row r="181" spans="1:1" x14ac:dyDescent="0.2">
      <c r="A181" s="42" t="s">
        <v>1161</v>
      </c>
    </row>
    <row r="182" spans="1:1" x14ac:dyDescent="0.2">
      <c r="A182" s="42" t="s">
        <v>947</v>
      </c>
    </row>
    <row r="183" spans="1:1" x14ac:dyDescent="0.2">
      <c r="A183" s="42" t="s">
        <v>1552</v>
      </c>
    </row>
    <row r="184" spans="1:1" x14ac:dyDescent="0.2">
      <c r="A184" s="42" t="s">
        <v>1553</v>
      </c>
    </row>
    <row r="185" spans="1:1" x14ac:dyDescent="0.2">
      <c r="A185" s="42" t="s">
        <v>949</v>
      </c>
    </row>
    <row r="186" spans="1:1" x14ac:dyDescent="0.2">
      <c r="A186" s="42" t="s">
        <v>943</v>
      </c>
    </row>
    <row r="187" spans="1:1" x14ac:dyDescent="0.2">
      <c r="A187" s="42" t="s">
        <v>1540</v>
      </c>
    </row>
    <row r="188" spans="1:1" x14ac:dyDescent="0.2">
      <c r="A188" s="42" t="s">
        <v>972</v>
      </c>
    </row>
    <row r="189" spans="1:1" x14ac:dyDescent="0.2">
      <c r="A189" s="42" t="s">
        <v>953</v>
      </c>
    </row>
    <row r="190" spans="1:1" x14ac:dyDescent="0.2">
      <c r="A190" s="42" t="s">
        <v>273</v>
      </c>
    </row>
    <row r="191" spans="1:1" x14ac:dyDescent="0.2">
      <c r="A191" s="41" t="s">
        <v>274</v>
      </c>
    </row>
    <row r="192" spans="1:1" x14ac:dyDescent="0.2">
      <c r="A192" s="41"/>
    </row>
    <row r="193" spans="1:1" x14ac:dyDescent="0.2">
      <c r="A193" s="41" t="s">
        <v>1085</v>
      </c>
    </row>
    <row r="194" spans="1:1" x14ac:dyDescent="0.2">
      <c r="A194" s="41" t="s">
        <v>1086</v>
      </c>
    </row>
    <row r="195" spans="1:1" x14ac:dyDescent="0.2">
      <c r="A195" s="42" t="s">
        <v>238</v>
      </c>
    </row>
    <row r="196" spans="1:1" x14ac:dyDescent="0.2">
      <c r="A196" s="42" t="s">
        <v>941</v>
      </c>
    </row>
    <row r="197" spans="1:1" x14ac:dyDescent="0.2">
      <c r="A197" s="42" t="s">
        <v>253</v>
      </c>
    </row>
    <row r="198" spans="1:1" x14ac:dyDescent="0.2">
      <c r="A198" s="42" t="s">
        <v>781</v>
      </c>
    </row>
    <row r="199" spans="1:1" x14ac:dyDescent="0.2">
      <c r="A199" s="42" t="s">
        <v>961</v>
      </c>
    </row>
    <row r="200" spans="1:1" x14ac:dyDescent="0.2">
      <c r="A200" s="42" t="s">
        <v>949</v>
      </c>
    </row>
    <row r="201" spans="1:1" x14ac:dyDescent="0.2">
      <c r="A201" s="42" t="s">
        <v>1540</v>
      </c>
    </row>
    <row r="202" spans="1:1" x14ac:dyDescent="0.2">
      <c r="A202" s="42" t="s">
        <v>972</v>
      </c>
    </row>
    <row r="203" spans="1:1" x14ac:dyDescent="0.2">
      <c r="A203" s="42" t="s">
        <v>953</v>
      </c>
    </row>
    <row r="204" spans="1:1" x14ac:dyDescent="0.2">
      <c r="A204" s="42" t="s">
        <v>273</v>
      </c>
    </row>
    <row r="205" spans="1:1" x14ac:dyDescent="0.2">
      <c r="A205" s="41" t="s">
        <v>274</v>
      </c>
    </row>
    <row r="206" spans="1:1" x14ac:dyDescent="0.2">
      <c r="A206" s="41"/>
    </row>
    <row r="207" spans="1:1" x14ac:dyDescent="0.2">
      <c r="A207" s="41" t="s">
        <v>1554</v>
      </c>
    </row>
    <row r="208" spans="1:1" x14ac:dyDescent="0.2">
      <c r="A208" s="41" t="s">
        <v>1555</v>
      </c>
    </row>
    <row r="209" spans="1:1" x14ac:dyDescent="0.2">
      <c r="A209" s="42" t="s">
        <v>238</v>
      </c>
    </row>
    <row r="210" spans="1:1" x14ac:dyDescent="0.2">
      <c r="A210" s="42" t="s">
        <v>253</v>
      </c>
    </row>
    <row r="211" spans="1:1" x14ac:dyDescent="0.2">
      <c r="A211" s="42" t="s">
        <v>239</v>
      </c>
    </row>
    <row r="212" spans="1:1" x14ac:dyDescent="0.2">
      <c r="A212" s="42" t="s">
        <v>1537</v>
      </c>
    </row>
    <row r="213" spans="1:1" x14ac:dyDescent="0.2">
      <c r="A213" s="42" t="s">
        <v>1523</v>
      </c>
    </row>
    <row r="214" spans="1:1" x14ac:dyDescent="0.2">
      <c r="A214" s="42" t="s">
        <v>273</v>
      </c>
    </row>
    <row r="215" spans="1:1" x14ac:dyDescent="0.2">
      <c r="A215" s="41" t="s">
        <v>274</v>
      </c>
    </row>
    <row r="216" spans="1:1" x14ac:dyDescent="0.2">
      <c r="A216" s="41"/>
    </row>
    <row r="217" spans="1:1" x14ac:dyDescent="0.2">
      <c r="A217" s="41" t="s">
        <v>1556</v>
      </c>
    </row>
    <row r="218" spans="1:1" x14ac:dyDescent="0.2">
      <c r="A218" s="41" t="s">
        <v>1557</v>
      </c>
    </row>
    <row r="219" spans="1:1" x14ac:dyDescent="0.2">
      <c r="A219" s="42" t="s">
        <v>238</v>
      </c>
    </row>
    <row r="220" spans="1:1" x14ac:dyDescent="0.2">
      <c r="A220" s="42" t="s">
        <v>239</v>
      </c>
    </row>
    <row r="221" spans="1:1" x14ac:dyDescent="0.2">
      <c r="A221" s="42" t="s">
        <v>240</v>
      </c>
    </row>
    <row r="222" spans="1:1" x14ac:dyDescent="0.2">
      <c r="A222" s="42" t="s">
        <v>273</v>
      </c>
    </row>
    <row r="223" spans="1:1" x14ac:dyDescent="0.2">
      <c r="A223" s="41" t="s">
        <v>274</v>
      </c>
    </row>
    <row r="224" spans="1:1" x14ac:dyDescent="0.2">
      <c r="A224" s="41"/>
    </row>
    <row r="225" spans="1:1" x14ac:dyDescent="0.2">
      <c r="A225" s="41" t="s">
        <v>1558</v>
      </c>
    </row>
    <row r="226" spans="1:1" x14ac:dyDescent="0.2">
      <c r="A226" s="41" t="s">
        <v>1559</v>
      </c>
    </row>
    <row r="227" spans="1:1" x14ac:dyDescent="0.2">
      <c r="A227" s="42" t="s">
        <v>238</v>
      </c>
    </row>
    <row r="228" spans="1:1" x14ac:dyDescent="0.2">
      <c r="A228" s="42" t="s">
        <v>239</v>
      </c>
    </row>
    <row r="229" spans="1:1" x14ac:dyDescent="0.2">
      <c r="A229" s="42" t="s">
        <v>240</v>
      </c>
    </row>
    <row r="230" spans="1:1" x14ac:dyDescent="0.2">
      <c r="A230" s="42" t="s">
        <v>273</v>
      </c>
    </row>
    <row r="231" spans="1:1" x14ac:dyDescent="0.2">
      <c r="A231" s="41" t="s">
        <v>274</v>
      </c>
    </row>
    <row r="232" spans="1:1" x14ac:dyDescent="0.2">
      <c r="A232" s="41"/>
    </row>
    <row r="233" spans="1:1" x14ac:dyDescent="0.2">
      <c r="A233" s="41" t="s">
        <v>1560</v>
      </c>
    </row>
    <row r="234" spans="1:1" x14ac:dyDescent="0.2">
      <c r="A234" s="41" t="s">
        <v>1561</v>
      </c>
    </row>
    <row r="235" spans="1:1" x14ac:dyDescent="0.2">
      <c r="A235" s="42" t="s">
        <v>238</v>
      </c>
    </row>
    <row r="236" spans="1:1" x14ac:dyDescent="0.2">
      <c r="A236" s="42" t="s">
        <v>239</v>
      </c>
    </row>
    <row r="237" spans="1:1" x14ac:dyDescent="0.2">
      <c r="A237" s="42" t="s">
        <v>253</v>
      </c>
    </row>
    <row r="238" spans="1:1" x14ac:dyDescent="0.2">
      <c r="A238" s="42" t="s">
        <v>1563</v>
      </c>
    </row>
    <row r="239" spans="1:1" x14ac:dyDescent="0.2">
      <c r="A239" s="42" t="s">
        <v>1591</v>
      </c>
    </row>
    <row r="240" spans="1:1" x14ac:dyDescent="0.2">
      <c r="A240" s="42" t="s">
        <v>1400</v>
      </c>
    </row>
    <row r="241" spans="1:1" x14ac:dyDescent="0.2">
      <c r="A241" s="42" t="s">
        <v>938</v>
      </c>
    </row>
    <row r="242" spans="1:1" x14ac:dyDescent="0.2">
      <c r="A242" s="42" t="s">
        <v>1550</v>
      </c>
    </row>
    <row r="243" spans="1:1" x14ac:dyDescent="0.2">
      <c r="A243" s="42" t="s">
        <v>1551</v>
      </c>
    </row>
    <row r="244" spans="1:1" x14ac:dyDescent="0.2">
      <c r="A244" s="42" t="s">
        <v>952</v>
      </c>
    </row>
    <row r="245" spans="1:1" x14ac:dyDescent="0.2">
      <c r="A245" s="42" t="s">
        <v>242</v>
      </c>
    </row>
    <row r="246" spans="1:1" x14ac:dyDescent="0.2">
      <c r="A246" s="42" t="s">
        <v>953</v>
      </c>
    </row>
    <row r="247" spans="1:1" x14ac:dyDescent="0.2">
      <c r="A247" s="42" t="s">
        <v>273</v>
      </c>
    </row>
    <row r="248" spans="1:1" x14ac:dyDescent="0.2">
      <c r="A248" s="41" t="s">
        <v>274</v>
      </c>
    </row>
    <row r="249" spans="1:1" x14ac:dyDescent="0.2">
      <c r="A249" s="41"/>
    </row>
    <row r="250" spans="1:1" x14ac:dyDescent="0.2">
      <c r="A250" s="41" t="s">
        <v>1564</v>
      </c>
    </row>
    <row r="251" spans="1:1" x14ac:dyDescent="0.2">
      <c r="A251" s="41" t="s">
        <v>1565</v>
      </c>
    </row>
    <row r="252" spans="1:1" x14ac:dyDescent="0.2">
      <c r="A252" s="42" t="s">
        <v>238</v>
      </c>
    </row>
    <row r="253" spans="1:1" x14ac:dyDescent="0.2">
      <c r="A253" s="42" t="s">
        <v>1567</v>
      </c>
    </row>
    <row r="254" spans="1:1" x14ac:dyDescent="0.2">
      <c r="A254" s="42" t="s">
        <v>253</v>
      </c>
    </row>
    <row r="255" spans="1:1" x14ac:dyDescent="0.2">
      <c r="A255" s="42" t="s">
        <v>942</v>
      </c>
    </row>
    <row r="256" spans="1:1" x14ac:dyDescent="0.2">
      <c r="A256" s="42" t="s">
        <v>1161</v>
      </c>
    </row>
    <row r="257" spans="1:1" x14ac:dyDescent="0.2">
      <c r="A257" s="42" t="s">
        <v>947</v>
      </c>
    </row>
    <row r="258" spans="1:1" x14ac:dyDescent="0.2">
      <c r="A258" s="42" t="s">
        <v>1552</v>
      </c>
    </row>
    <row r="259" spans="1:1" x14ac:dyDescent="0.2">
      <c r="A259" s="42" t="s">
        <v>1568</v>
      </c>
    </row>
    <row r="260" spans="1:1" x14ac:dyDescent="0.2">
      <c r="A260" s="42" t="s">
        <v>949</v>
      </c>
    </row>
    <row r="261" spans="1:1" x14ac:dyDescent="0.2">
      <c r="A261" s="42" t="s">
        <v>943</v>
      </c>
    </row>
    <row r="262" spans="1:1" x14ac:dyDescent="0.2">
      <c r="A262" s="42" t="s">
        <v>1540</v>
      </c>
    </row>
    <row r="263" spans="1:1" x14ac:dyDescent="0.2">
      <c r="A263" s="42" t="s">
        <v>972</v>
      </c>
    </row>
    <row r="264" spans="1:1" x14ac:dyDescent="0.2">
      <c r="A264" s="42" t="s">
        <v>953</v>
      </c>
    </row>
    <row r="265" spans="1:1" x14ac:dyDescent="0.2">
      <c r="A265" s="42" t="s">
        <v>273</v>
      </c>
    </row>
    <row r="266" spans="1:1" x14ac:dyDescent="0.2">
      <c r="A266" s="41" t="s">
        <v>274</v>
      </c>
    </row>
    <row r="267" spans="1:1" x14ac:dyDescent="0.2">
      <c r="A267" s="41"/>
    </row>
    <row r="268" spans="1:1" x14ac:dyDescent="0.2">
      <c r="A268" s="41" t="s">
        <v>1569</v>
      </c>
    </row>
    <row r="269" spans="1:1" x14ac:dyDescent="0.2">
      <c r="A269" s="41" t="s">
        <v>1570</v>
      </c>
    </row>
    <row r="270" spans="1:1" x14ac:dyDescent="0.2">
      <c r="A270" s="42" t="s">
        <v>238</v>
      </c>
    </row>
    <row r="271" spans="1:1" x14ac:dyDescent="0.2">
      <c r="A271" s="42" t="s">
        <v>1567</v>
      </c>
    </row>
    <row r="272" spans="1:1" x14ac:dyDescent="0.2">
      <c r="A272" s="42" t="s">
        <v>253</v>
      </c>
    </row>
    <row r="273" spans="1:1" x14ac:dyDescent="0.2">
      <c r="A273" s="42" t="s">
        <v>781</v>
      </c>
    </row>
    <row r="274" spans="1:1" x14ac:dyDescent="0.2">
      <c r="A274" s="42" t="s">
        <v>961</v>
      </c>
    </row>
    <row r="275" spans="1:1" x14ac:dyDescent="0.2">
      <c r="A275" s="42" t="s">
        <v>949</v>
      </c>
    </row>
    <row r="276" spans="1:1" x14ac:dyDescent="0.2">
      <c r="A276" s="42" t="s">
        <v>1540</v>
      </c>
    </row>
    <row r="277" spans="1:1" x14ac:dyDescent="0.2">
      <c r="A277" s="42" t="s">
        <v>972</v>
      </c>
    </row>
    <row r="278" spans="1:1" x14ac:dyDescent="0.2">
      <c r="A278" s="42" t="s">
        <v>953</v>
      </c>
    </row>
    <row r="279" spans="1:1" x14ac:dyDescent="0.2">
      <c r="A279" s="42" t="s">
        <v>273</v>
      </c>
    </row>
    <row r="280" spans="1:1" x14ac:dyDescent="0.2">
      <c r="A280" s="41" t="s">
        <v>274</v>
      </c>
    </row>
    <row r="281" spans="1:1" x14ac:dyDescent="0.2">
      <c r="A281" s="41"/>
    </row>
    <row r="282" spans="1:1" x14ac:dyDescent="0.2">
      <c r="A282" s="41" t="s">
        <v>1571</v>
      </c>
    </row>
    <row r="283" spans="1:1" x14ac:dyDescent="0.2">
      <c r="A283" s="41" t="s">
        <v>1572</v>
      </c>
    </row>
    <row r="284" spans="1:1" x14ac:dyDescent="0.2">
      <c r="A284" s="42" t="s">
        <v>238</v>
      </c>
    </row>
    <row r="285" spans="1:1" x14ac:dyDescent="0.2">
      <c r="A285" s="42" t="s">
        <v>253</v>
      </c>
    </row>
    <row r="286" spans="1:1" x14ac:dyDescent="0.2">
      <c r="A286" s="42" t="s">
        <v>239</v>
      </c>
    </row>
    <row r="287" spans="1:1" x14ac:dyDescent="0.2">
      <c r="A287" s="42" t="s">
        <v>969</v>
      </c>
    </row>
    <row r="288" spans="1:1" x14ac:dyDescent="0.2">
      <c r="A288" s="42" t="s">
        <v>1523</v>
      </c>
    </row>
    <row r="289" spans="1:1" x14ac:dyDescent="0.2">
      <c r="A289" s="42" t="s">
        <v>1709</v>
      </c>
    </row>
    <row r="290" spans="1:1" x14ac:dyDescent="0.2">
      <c r="A290" s="42" t="s">
        <v>273</v>
      </c>
    </row>
    <row r="291" spans="1:1" x14ac:dyDescent="0.2">
      <c r="A291" s="41" t="s">
        <v>274</v>
      </c>
    </row>
    <row r="292" spans="1:1" x14ac:dyDescent="0.2">
      <c r="A292" s="41"/>
    </row>
    <row r="293" spans="1:1" x14ac:dyDescent="0.2">
      <c r="A293" s="41" t="s">
        <v>1172</v>
      </c>
    </row>
    <row r="294" spans="1:1" x14ac:dyDescent="0.2">
      <c r="A294" s="41" t="s">
        <v>1173</v>
      </c>
    </row>
    <row r="295" spans="1:1" x14ac:dyDescent="0.2">
      <c r="A295" s="42" t="s">
        <v>238</v>
      </c>
    </row>
    <row r="296" spans="1:1" x14ac:dyDescent="0.2">
      <c r="A296" s="42" t="s">
        <v>239</v>
      </c>
    </row>
    <row r="297" spans="1:1" x14ac:dyDescent="0.2">
      <c r="A297" s="42" t="s">
        <v>240</v>
      </c>
    </row>
    <row r="298" spans="1:1" x14ac:dyDescent="0.2">
      <c r="A298" s="42" t="s">
        <v>273</v>
      </c>
    </row>
    <row r="299" spans="1:1" x14ac:dyDescent="0.2">
      <c r="A299" s="41" t="s">
        <v>274</v>
      </c>
    </row>
    <row r="300" spans="1:1" x14ac:dyDescent="0.2">
      <c r="A300" s="41"/>
    </row>
    <row r="301" spans="1:1" x14ac:dyDescent="0.2">
      <c r="A301" s="41" t="s">
        <v>1573</v>
      </c>
    </row>
    <row r="302" spans="1:1" x14ac:dyDescent="0.2">
      <c r="A302" s="41" t="s">
        <v>1574</v>
      </c>
    </row>
    <row r="303" spans="1:1" x14ac:dyDescent="0.2">
      <c r="A303" s="42" t="s">
        <v>238</v>
      </c>
    </row>
    <row r="304" spans="1:1" x14ac:dyDescent="0.2">
      <c r="A304" s="42" t="s">
        <v>239</v>
      </c>
    </row>
    <row r="305" spans="1:1" x14ac:dyDescent="0.2">
      <c r="A305" s="42" t="s">
        <v>240</v>
      </c>
    </row>
    <row r="306" spans="1:1" x14ac:dyDescent="0.2">
      <c r="A306" s="42" t="s">
        <v>273</v>
      </c>
    </row>
    <row r="307" spans="1:1" x14ac:dyDescent="0.2">
      <c r="A307" s="41" t="s">
        <v>274</v>
      </c>
    </row>
    <row r="308" spans="1:1" x14ac:dyDescent="0.2">
      <c r="A308" s="41"/>
    </row>
    <row r="309" spans="1:1" x14ac:dyDescent="0.2">
      <c r="A309" s="41" t="s">
        <v>1179</v>
      </c>
    </row>
    <row r="310" spans="1:1" x14ac:dyDescent="0.2">
      <c r="A310" s="41" t="s">
        <v>1180</v>
      </c>
    </row>
    <row r="311" spans="1:1" x14ac:dyDescent="0.2">
      <c r="A311" s="42" t="s">
        <v>238</v>
      </c>
    </row>
    <row r="312" spans="1:1" x14ac:dyDescent="0.2">
      <c r="A312" s="42" t="s">
        <v>239</v>
      </c>
    </row>
    <row r="313" spans="1:1" x14ac:dyDescent="0.2">
      <c r="A313" s="42" t="s">
        <v>253</v>
      </c>
    </row>
    <row r="314" spans="1:1" x14ac:dyDescent="0.2">
      <c r="A314" s="42" t="s">
        <v>1576</v>
      </c>
    </row>
    <row r="315" spans="1:1" x14ac:dyDescent="0.2">
      <c r="A315" s="42" t="s">
        <v>1577</v>
      </c>
    </row>
    <row r="316" spans="1:1" x14ac:dyDescent="0.2">
      <c r="A316" s="42" t="s">
        <v>1105</v>
      </c>
    </row>
    <row r="317" spans="1:1" x14ac:dyDescent="0.2">
      <c r="A317" s="42" t="s">
        <v>1550</v>
      </c>
    </row>
    <row r="318" spans="1:1" x14ac:dyDescent="0.2">
      <c r="A318" s="42" t="s">
        <v>1181</v>
      </c>
    </row>
    <row r="319" spans="1:1" x14ac:dyDescent="0.2">
      <c r="A319" s="42" t="s">
        <v>1182</v>
      </c>
    </row>
    <row r="320" spans="1:1" x14ac:dyDescent="0.2">
      <c r="A320" s="42" t="s">
        <v>1183</v>
      </c>
    </row>
    <row r="321" spans="1:1" x14ac:dyDescent="0.2">
      <c r="A321" s="42" t="s">
        <v>1185</v>
      </c>
    </row>
    <row r="322" spans="1:1" x14ac:dyDescent="0.2">
      <c r="A322" s="42" t="s">
        <v>242</v>
      </c>
    </row>
    <row r="323" spans="1:1" x14ac:dyDescent="0.2">
      <c r="A323" s="42" t="s">
        <v>953</v>
      </c>
    </row>
    <row r="324" spans="1:1" x14ac:dyDescent="0.2">
      <c r="A324" s="42" t="s">
        <v>273</v>
      </c>
    </row>
    <row r="325" spans="1:1" x14ac:dyDescent="0.2">
      <c r="A325" s="41" t="s">
        <v>274</v>
      </c>
    </row>
    <row r="326" spans="1:1" x14ac:dyDescent="0.2">
      <c r="A326" s="41"/>
    </row>
    <row r="327" spans="1:1" x14ac:dyDescent="0.2">
      <c r="A327" s="41" t="s">
        <v>1188</v>
      </c>
    </row>
    <row r="328" spans="1:1" x14ac:dyDescent="0.2">
      <c r="A328" s="41" t="s">
        <v>1189</v>
      </c>
    </row>
    <row r="329" spans="1:1" x14ac:dyDescent="0.2">
      <c r="A329" s="42" t="s">
        <v>238</v>
      </c>
    </row>
    <row r="330" spans="1:1" x14ac:dyDescent="0.2">
      <c r="A330" s="42" t="s">
        <v>1191</v>
      </c>
    </row>
    <row r="331" spans="1:1" x14ac:dyDescent="0.2">
      <c r="A331" s="42" t="s">
        <v>253</v>
      </c>
    </row>
    <row r="332" spans="1:1" x14ac:dyDescent="0.2">
      <c r="A332" s="42" t="s">
        <v>1192</v>
      </c>
    </row>
    <row r="333" spans="1:1" x14ac:dyDescent="0.2">
      <c r="A333" s="42" t="s">
        <v>1193</v>
      </c>
    </row>
    <row r="334" spans="1:1" x14ac:dyDescent="0.2">
      <c r="A334" s="42" t="s">
        <v>1194</v>
      </c>
    </row>
    <row r="335" spans="1:1" x14ac:dyDescent="0.2">
      <c r="A335" s="42" t="s">
        <v>1161</v>
      </c>
    </row>
    <row r="336" spans="1:1" x14ac:dyDescent="0.2">
      <c r="A336" s="42" t="s">
        <v>947</v>
      </c>
    </row>
    <row r="337" spans="1:1" x14ac:dyDescent="0.2">
      <c r="A337" s="42" t="s">
        <v>1552</v>
      </c>
    </row>
    <row r="338" spans="1:1" x14ac:dyDescent="0.2">
      <c r="A338" s="42" t="s">
        <v>1578</v>
      </c>
    </row>
    <row r="339" spans="1:1" x14ac:dyDescent="0.2">
      <c r="A339" s="42" t="s">
        <v>949</v>
      </c>
    </row>
    <row r="340" spans="1:1" x14ac:dyDescent="0.2">
      <c r="A340" s="42" t="s">
        <v>943</v>
      </c>
    </row>
    <row r="341" spans="1:1" x14ac:dyDescent="0.2">
      <c r="A341" s="42" t="s">
        <v>1540</v>
      </c>
    </row>
    <row r="342" spans="1:1" x14ac:dyDescent="0.2">
      <c r="A342" s="42" t="s">
        <v>972</v>
      </c>
    </row>
    <row r="343" spans="1:1" x14ac:dyDescent="0.2">
      <c r="A343" s="42" t="s">
        <v>953</v>
      </c>
    </row>
    <row r="344" spans="1:1" x14ac:dyDescent="0.2">
      <c r="A344" s="42" t="s">
        <v>273</v>
      </c>
    </row>
    <row r="345" spans="1:1" x14ac:dyDescent="0.2">
      <c r="A345" s="41" t="s">
        <v>274</v>
      </c>
    </row>
    <row r="346" spans="1:1" x14ac:dyDescent="0.2">
      <c r="A346" s="41"/>
    </row>
    <row r="347" spans="1:1" x14ac:dyDescent="0.2">
      <c r="A347" s="41" t="s">
        <v>1349</v>
      </c>
    </row>
    <row r="348" spans="1:1" x14ac:dyDescent="0.2">
      <c r="A348" s="41" t="s">
        <v>1350</v>
      </c>
    </row>
    <row r="349" spans="1:1" x14ac:dyDescent="0.2">
      <c r="A349" s="42" t="s">
        <v>238</v>
      </c>
    </row>
    <row r="350" spans="1:1" x14ac:dyDescent="0.2">
      <c r="A350" s="42" t="s">
        <v>239</v>
      </c>
    </row>
    <row r="351" spans="1:1" x14ac:dyDescent="0.2">
      <c r="A351" s="42" t="s">
        <v>253</v>
      </c>
    </row>
    <row r="352" spans="1:1" x14ac:dyDescent="0.2">
      <c r="A352" s="42" t="s">
        <v>1523</v>
      </c>
    </row>
    <row r="353" spans="1:1" x14ac:dyDescent="0.2">
      <c r="A353" s="42" t="s">
        <v>972</v>
      </c>
    </row>
    <row r="354" spans="1:1" x14ac:dyDescent="0.2">
      <c r="A354" s="42" t="s">
        <v>1105</v>
      </c>
    </row>
    <row r="355" spans="1:1" x14ac:dyDescent="0.2">
      <c r="A355" s="42" t="s">
        <v>242</v>
      </c>
    </row>
    <row r="356" spans="1:1" x14ac:dyDescent="0.2">
      <c r="A356" s="42" t="s">
        <v>273</v>
      </c>
    </row>
    <row r="357" spans="1:1" x14ac:dyDescent="0.2">
      <c r="A357" s="41" t="s">
        <v>274</v>
      </c>
    </row>
    <row r="358" spans="1:1" x14ac:dyDescent="0.2">
      <c r="A358" s="41"/>
    </row>
    <row r="359" spans="1:1" x14ac:dyDescent="0.2">
      <c r="A359" s="41" t="s">
        <v>1356</v>
      </c>
    </row>
    <row r="360" spans="1:1" x14ac:dyDescent="0.2">
      <c r="A360" s="41" t="s">
        <v>1357</v>
      </c>
    </row>
    <row r="361" spans="1:1" x14ac:dyDescent="0.2">
      <c r="A361" s="42" t="s">
        <v>238</v>
      </c>
    </row>
    <row r="362" spans="1:1" x14ac:dyDescent="0.2">
      <c r="A362" s="42" t="s">
        <v>1369</v>
      </c>
    </row>
    <row r="363" spans="1:1" x14ac:dyDescent="0.2">
      <c r="A363" s="42" t="s">
        <v>253</v>
      </c>
    </row>
    <row r="364" spans="1:1" x14ac:dyDescent="0.2">
      <c r="A364" s="42" t="s">
        <v>949</v>
      </c>
    </row>
    <row r="365" spans="1:1" x14ac:dyDescent="0.2">
      <c r="A365" s="42" t="s">
        <v>1105</v>
      </c>
    </row>
    <row r="366" spans="1:1" x14ac:dyDescent="0.2">
      <c r="A366" s="42" t="s">
        <v>1415</v>
      </c>
    </row>
    <row r="367" spans="1:1" x14ac:dyDescent="0.2">
      <c r="A367" s="42" t="s">
        <v>974</v>
      </c>
    </row>
    <row r="368" spans="1:1" x14ac:dyDescent="0.2">
      <c r="A368" s="42" t="s">
        <v>242</v>
      </c>
    </row>
    <row r="369" spans="1:1" x14ac:dyDescent="0.2">
      <c r="A369" s="42" t="s">
        <v>953</v>
      </c>
    </row>
    <row r="370" spans="1:1" x14ac:dyDescent="0.2">
      <c r="A370" s="42" t="s">
        <v>273</v>
      </c>
    </row>
    <row r="371" spans="1:1" x14ac:dyDescent="0.2">
      <c r="A371" s="41" t="s">
        <v>274</v>
      </c>
    </row>
    <row r="372" spans="1:1" x14ac:dyDescent="0.2">
      <c r="A372" s="41"/>
    </row>
    <row r="373" spans="1:1" x14ac:dyDescent="0.2">
      <c r="A373" s="41" t="s">
        <v>1372</v>
      </c>
    </row>
    <row r="374" spans="1:1" x14ac:dyDescent="0.2">
      <c r="A374" s="41" t="s">
        <v>1373</v>
      </c>
    </row>
    <row r="375" spans="1:1" x14ac:dyDescent="0.2">
      <c r="A375" s="42" t="s">
        <v>238</v>
      </c>
    </row>
    <row r="376" spans="1:1" x14ac:dyDescent="0.2">
      <c r="A376" s="42" t="s">
        <v>253</v>
      </c>
    </row>
    <row r="377" spans="1:1" x14ac:dyDescent="0.2">
      <c r="A377" s="42" t="s">
        <v>1376</v>
      </c>
    </row>
    <row r="378" spans="1:1" x14ac:dyDescent="0.2">
      <c r="A378" s="42" t="s">
        <v>1416</v>
      </c>
    </row>
    <row r="379" spans="1:1" x14ac:dyDescent="0.2">
      <c r="A379" s="42" t="s">
        <v>949</v>
      </c>
    </row>
    <row r="380" spans="1:1" x14ac:dyDescent="0.2">
      <c r="A380" s="42" t="s">
        <v>1539</v>
      </c>
    </row>
    <row r="381" spans="1:1" x14ac:dyDescent="0.2">
      <c r="A381" s="42" t="s">
        <v>972</v>
      </c>
    </row>
    <row r="382" spans="1:1" x14ac:dyDescent="0.2">
      <c r="A382" s="42" t="s">
        <v>273</v>
      </c>
    </row>
    <row r="383" spans="1:1" x14ac:dyDescent="0.2">
      <c r="A383" s="41" t="s">
        <v>274</v>
      </c>
    </row>
    <row r="384" spans="1:1" x14ac:dyDescent="0.2">
      <c r="A384" s="41"/>
    </row>
    <row r="385" spans="1:1" x14ac:dyDescent="0.2">
      <c r="A385" s="41" t="s">
        <v>1365</v>
      </c>
    </row>
    <row r="386" spans="1:1" x14ac:dyDescent="0.2">
      <c r="A386" s="41" t="s">
        <v>1366</v>
      </c>
    </row>
    <row r="387" spans="1:1" x14ac:dyDescent="0.2">
      <c r="A387" s="42" t="s">
        <v>238</v>
      </c>
    </row>
    <row r="388" spans="1:1" x14ac:dyDescent="0.2">
      <c r="A388" s="42" t="s">
        <v>253</v>
      </c>
    </row>
    <row r="389" spans="1:1" x14ac:dyDescent="0.2">
      <c r="A389" s="42" t="s">
        <v>1369</v>
      </c>
    </row>
    <row r="390" spans="1:1" x14ac:dyDescent="0.2">
      <c r="A390" s="42" t="s">
        <v>239</v>
      </c>
    </row>
    <row r="391" spans="1:1" x14ac:dyDescent="0.2">
      <c r="A391" s="42" t="s">
        <v>1398</v>
      </c>
    </row>
    <row r="392" spans="1:1" x14ac:dyDescent="0.2">
      <c r="A392" s="42" t="s">
        <v>273</v>
      </c>
    </row>
    <row r="393" spans="1:1" x14ac:dyDescent="0.2">
      <c r="A393" s="41" t="s">
        <v>274</v>
      </c>
    </row>
    <row r="394" spans="1:1" x14ac:dyDescent="0.2">
      <c r="A394" s="41"/>
    </row>
    <row r="395" spans="1:1" x14ac:dyDescent="0.2">
      <c r="A395" s="41" t="s">
        <v>1281</v>
      </c>
    </row>
    <row r="396" spans="1:1" x14ac:dyDescent="0.2">
      <c r="A396" s="41" t="s">
        <v>1282</v>
      </c>
    </row>
    <row r="397" spans="1:1" x14ac:dyDescent="0.2">
      <c r="A397" s="42" t="s">
        <v>238</v>
      </c>
    </row>
    <row r="398" spans="1:1" x14ac:dyDescent="0.2">
      <c r="A398" s="42" t="s">
        <v>239</v>
      </c>
    </row>
    <row r="399" spans="1:1" x14ac:dyDescent="0.2">
      <c r="A399" s="42" t="s">
        <v>253</v>
      </c>
    </row>
    <row r="400" spans="1:1" x14ac:dyDescent="0.2">
      <c r="A400" s="42" t="s">
        <v>1523</v>
      </c>
    </row>
    <row r="401" spans="1:1" x14ac:dyDescent="0.2">
      <c r="A401" s="42" t="s">
        <v>972</v>
      </c>
    </row>
    <row r="402" spans="1:1" x14ac:dyDescent="0.2">
      <c r="A402" s="42" t="s">
        <v>242</v>
      </c>
    </row>
    <row r="403" spans="1:1" x14ac:dyDescent="0.2">
      <c r="A403" s="42" t="s">
        <v>273</v>
      </c>
    </row>
    <row r="404" spans="1:1" x14ac:dyDescent="0.2">
      <c r="A404" s="41" t="s">
        <v>274</v>
      </c>
    </row>
    <row r="405" spans="1:1" x14ac:dyDescent="0.2">
      <c r="A405" s="41"/>
    </row>
    <row r="406" spans="1:1" x14ac:dyDescent="0.2">
      <c r="A406" s="41" t="s">
        <v>1289</v>
      </c>
    </row>
    <row r="407" spans="1:1" x14ac:dyDescent="0.2">
      <c r="A407" s="41" t="s">
        <v>1290</v>
      </c>
    </row>
    <row r="408" spans="1:1" x14ac:dyDescent="0.2">
      <c r="A408" s="42" t="s">
        <v>238</v>
      </c>
    </row>
    <row r="409" spans="1:1" x14ac:dyDescent="0.2">
      <c r="A409" s="42" t="s">
        <v>253</v>
      </c>
    </row>
    <row r="410" spans="1:1" x14ac:dyDescent="0.2">
      <c r="A410" s="42" t="s">
        <v>1293</v>
      </c>
    </row>
    <row r="411" spans="1:1" x14ac:dyDescent="0.2">
      <c r="A411" s="42" t="s">
        <v>239</v>
      </c>
    </row>
    <row r="412" spans="1:1" x14ac:dyDescent="0.2">
      <c r="A412" s="42" t="s">
        <v>1398</v>
      </c>
    </row>
    <row r="413" spans="1:1" x14ac:dyDescent="0.2">
      <c r="A413" s="42" t="s">
        <v>273</v>
      </c>
    </row>
    <row r="414" spans="1:1" x14ac:dyDescent="0.2">
      <c r="A414" s="41" t="s">
        <v>274</v>
      </c>
    </row>
    <row r="415" spans="1:1" x14ac:dyDescent="0.2">
      <c r="A415" s="41"/>
    </row>
    <row r="416" spans="1:1" x14ac:dyDescent="0.2">
      <c r="A416" s="41" t="s">
        <v>1296</v>
      </c>
    </row>
    <row r="417" spans="1:1" x14ac:dyDescent="0.2">
      <c r="A417" s="41" t="s">
        <v>1297</v>
      </c>
    </row>
    <row r="418" spans="1:1" x14ac:dyDescent="0.2">
      <c r="A418" s="42" t="s">
        <v>238</v>
      </c>
    </row>
    <row r="419" spans="1:1" x14ac:dyDescent="0.2">
      <c r="A419" s="42" t="s">
        <v>239</v>
      </c>
    </row>
    <row r="420" spans="1:1" x14ac:dyDescent="0.2">
      <c r="A420" s="42" t="s">
        <v>240</v>
      </c>
    </row>
    <row r="421" spans="1:1" x14ac:dyDescent="0.2">
      <c r="A421" s="42" t="s">
        <v>273</v>
      </c>
    </row>
    <row r="422" spans="1:1" x14ac:dyDescent="0.2">
      <c r="A422" s="41" t="s">
        <v>274</v>
      </c>
    </row>
    <row r="423" spans="1:1" x14ac:dyDescent="0.2">
      <c r="A423" s="41"/>
    </row>
    <row r="424" spans="1:1" x14ac:dyDescent="0.2">
      <c r="A424" s="41" t="s">
        <v>1306</v>
      </c>
    </row>
    <row r="425" spans="1:1" x14ac:dyDescent="0.2">
      <c r="A425" s="41" t="s">
        <v>1307</v>
      </c>
    </row>
    <row r="426" spans="1:1" x14ac:dyDescent="0.2">
      <c r="A426" s="42" t="s">
        <v>238</v>
      </c>
    </row>
    <row r="427" spans="1:1" x14ac:dyDescent="0.2">
      <c r="A427" s="42" t="s">
        <v>253</v>
      </c>
    </row>
    <row r="428" spans="1:1" x14ac:dyDescent="0.2">
      <c r="A428" s="42" t="s">
        <v>1347</v>
      </c>
    </row>
    <row r="429" spans="1:1" x14ac:dyDescent="0.2">
      <c r="A429" s="42" t="s">
        <v>1580</v>
      </c>
    </row>
    <row r="430" spans="1:1" x14ac:dyDescent="0.2">
      <c r="A430" s="42" t="s">
        <v>949</v>
      </c>
    </row>
    <row r="431" spans="1:1" x14ac:dyDescent="0.2">
      <c r="A431" s="42" t="s">
        <v>1105</v>
      </c>
    </row>
    <row r="432" spans="1:1" x14ac:dyDescent="0.2">
      <c r="A432" s="42" t="s">
        <v>972</v>
      </c>
    </row>
    <row r="433" spans="1:1" x14ac:dyDescent="0.2">
      <c r="A433" s="42" t="s">
        <v>974</v>
      </c>
    </row>
    <row r="434" spans="1:1" x14ac:dyDescent="0.2">
      <c r="A434" s="42" t="s">
        <v>242</v>
      </c>
    </row>
    <row r="435" spans="1:1" x14ac:dyDescent="0.2">
      <c r="A435" s="42" t="s">
        <v>953</v>
      </c>
    </row>
    <row r="436" spans="1:1" x14ac:dyDescent="0.2">
      <c r="A436" s="42" t="s">
        <v>273</v>
      </c>
    </row>
    <row r="437" spans="1:1" x14ac:dyDescent="0.2">
      <c r="A437" s="41" t="s">
        <v>274</v>
      </c>
    </row>
    <row r="438" spans="1:1" x14ac:dyDescent="0.2">
      <c r="A438" s="41"/>
    </row>
    <row r="439" spans="1:1" x14ac:dyDescent="0.2">
      <c r="A439" s="41" t="s">
        <v>1320</v>
      </c>
    </row>
    <row r="440" spans="1:1" x14ac:dyDescent="0.2">
      <c r="A440" s="41" t="s">
        <v>1321</v>
      </c>
    </row>
    <row r="441" spans="1:1" x14ac:dyDescent="0.2">
      <c r="A441" s="42" t="s">
        <v>238</v>
      </c>
    </row>
    <row r="442" spans="1:1" x14ac:dyDescent="0.2">
      <c r="A442" s="42" t="s">
        <v>253</v>
      </c>
    </row>
    <row r="443" spans="1:1" x14ac:dyDescent="0.2">
      <c r="A443" s="42" t="s">
        <v>1348</v>
      </c>
    </row>
    <row r="444" spans="1:1" x14ac:dyDescent="0.2">
      <c r="A444" s="42" t="s">
        <v>1347</v>
      </c>
    </row>
    <row r="445" spans="1:1" x14ac:dyDescent="0.2">
      <c r="A445" s="42" t="s">
        <v>949</v>
      </c>
    </row>
    <row r="446" spans="1:1" x14ac:dyDescent="0.2">
      <c r="A446" s="42" t="s">
        <v>972</v>
      </c>
    </row>
    <row r="447" spans="1:1" x14ac:dyDescent="0.2">
      <c r="A447" s="42" t="s">
        <v>273</v>
      </c>
    </row>
    <row r="448" spans="1:1" x14ac:dyDescent="0.2">
      <c r="A448" s="41" t="s">
        <v>274</v>
      </c>
    </row>
    <row r="449" spans="1:1" x14ac:dyDescent="0.2">
      <c r="A449" s="41"/>
    </row>
    <row r="450" spans="1:1" x14ac:dyDescent="0.2">
      <c r="A450" s="41" t="s">
        <v>1101</v>
      </c>
    </row>
    <row r="451" spans="1:1" x14ac:dyDescent="0.2">
      <c r="A451" s="41" t="s">
        <v>1102</v>
      </c>
    </row>
    <row r="452" spans="1:1" x14ac:dyDescent="0.2">
      <c r="A452" s="42" t="s">
        <v>238</v>
      </c>
    </row>
    <row r="453" spans="1:1" x14ac:dyDescent="0.2">
      <c r="A453" s="42" t="s">
        <v>239</v>
      </c>
    </row>
    <row r="454" spans="1:1" x14ac:dyDescent="0.2">
      <c r="A454" s="42" t="s">
        <v>974</v>
      </c>
    </row>
    <row r="455" spans="1:1" x14ac:dyDescent="0.2">
      <c r="A455" s="42" t="s">
        <v>1404</v>
      </c>
    </row>
    <row r="456" spans="1:1" x14ac:dyDescent="0.2">
      <c r="A456" s="42" t="s">
        <v>1405</v>
      </c>
    </row>
    <row r="457" spans="1:1" x14ac:dyDescent="0.2">
      <c r="A457" s="42" t="s">
        <v>1406</v>
      </c>
    </row>
    <row r="458" spans="1:1" x14ac:dyDescent="0.2">
      <c r="A458" s="42" t="s">
        <v>1407</v>
      </c>
    </row>
    <row r="459" spans="1:1" x14ac:dyDescent="0.2">
      <c r="A459" s="42" t="s">
        <v>1408</v>
      </c>
    </row>
    <row r="460" spans="1:1" x14ac:dyDescent="0.2">
      <c r="A460" s="42" t="s">
        <v>1409</v>
      </c>
    </row>
    <row r="461" spans="1:1" x14ac:dyDescent="0.2">
      <c r="A461" s="42" t="s">
        <v>273</v>
      </c>
    </row>
    <row r="462" spans="1:1" x14ac:dyDescent="0.2">
      <c r="A462" s="41" t="s">
        <v>274</v>
      </c>
    </row>
    <row r="463" spans="1:1" x14ac:dyDescent="0.2">
      <c r="A463" s="41"/>
    </row>
    <row r="464" spans="1:1" x14ac:dyDescent="0.2">
      <c r="A464" s="41" t="s">
        <v>1113</v>
      </c>
    </row>
    <row r="465" spans="1:1" x14ac:dyDescent="0.2">
      <c r="A465" s="41" t="s">
        <v>1114</v>
      </c>
    </row>
    <row r="466" spans="1:1" x14ac:dyDescent="0.2">
      <c r="A466" s="42" t="s">
        <v>238</v>
      </c>
    </row>
    <row r="467" spans="1:1" x14ac:dyDescent="0.2">
      <c r="A467" s="42" t="s">
        <v>239</v>
      </c>
    </row>
    <row r="468" spans="1:1" x14ac:dyDescent="0.2">
      <c r="A468" s="42" t="s">
        <v>240</v>
      </c>
    </row>
    <row r="469" spans="1:1" x14ac:dyDescent="0.2">
      <c r="A469" s="42" t="s">
        <v>273</v>
      </c>
    </row>
    <row r="470" spans="1:1" x14ac:dyDescent="0.2">
      <c r="A470" s="41" t="s">
        <v>274</v>
      </c>
    </row>
    <row r="471" spans="1:1" x14ac:dyDescent="0.2">
      <c r="A471" s="41"/>
    </row>
    <row r="472" spans="1:1" x14ac:dyDescent="0.2">
      <c r="A472" s="41" t="s">
        <v>1581</v>
      </c>
    </row>
    <row r="473" spans="1:1" x14ac:dyDescent="0.2">
      <c r="A473" s="41" t="s">
        <v>1582</v>
      </c>
    </row>
    <row r="474" spans="1:1" x14ac:dyDescent="0.2">
      <c r="A474" s="42" t="s">
        <v>238</v>
      </c>
    </row>
    <row r="475" spans="1:1" x14ac:dyDescent="0.2">
      <c r="A475" s="42" t="s">
        <v>239</v>
      </c>
    </row>
    <row r="476" spans="1:1" x14ac:dyDescent="0.2">
      <c r="A476" s="42" t="s">
        <v>240</v>
      </c>
    </row>
    <row r="477" spans="1:1" x14ac:dyDescent="0.2">
      <c r="A477" s="42" t="s">
        <v>273</v>
      </c>
    </row>
    <row r="478" spans="1:1" x14ac:dyDescent="0.2">
      <c r="A478" s="41" t="s">
        <v>274</v>
      </c>
    </row>
    <row r="479" spans="1:1" x14ac:dyDescent="0.2">
      <c r="A479" s="41"/>
    </row>
    <row r="480" spans="1:1" x14ac:dyDescent="0.2">
      <c r="A480" s="41" t="s">
        <v>1115</v>
      </c>
    </row>
    <row r="481" spans="1:1" x14ac:dyDescent="0.2">
      <c r="A481" s="41" t="s">
        <v>1116</v>
      </c>
    </row>
    <row r="482" spans="1:1" x14ac:dyDescent="0.2">
      <c r="A482" s="42" t="s">
        <v>238</v>
      </c>
    </row>
    <row r="483" spans="1:1" x14ac:dyDescent="0.2">
      <c r="A483" s="42" t="s">
        <v>253</v>
      </c>
    </row>
    <row r="484" spans="1:1" x14ac:dyDescent="0.2">
      <c r="A484" s="42" t="s">
        <v>255</v>
      </c>
    </row>
    <row r="485" spans="1:1" x14ac:dyDescent="0.2">
      <c r="A485" s="42" t="s">
        <v>781</v>
      </c>
    </row>
    <row r="486" spans="1:1" x14ac:dyDescent="0.2">
      <c r="A486" s="42" t="s">
        <v>1584</v>
      </c>
    </row>
    <row r="487" spans="1:1" x14ac:dyDescent="0.2">
      <c r="A487" s="42" t="s">
        <v>971</v>
      </c>
    </row>
    <row r="488" spans="1:1" x14ac:dyDescent="0.2">
      <c r="A488" s="42" t="s">
        <v>949</v>
      </c>
    </row>
    <row r="489" spans="1:1" x14ac:dyDescent="0.2">
      <c r="A489" s="42" t="s">
        <v>1523</v>
      </c>
    </row>
    <row r="490" spans="1:1" x14ac:dyDescent="0.2">
      <c r="A490" s="42" t="s">
        <v>972</v>
      </c>
    </row>
    <row r="491" spans="1:1" x14ac:dyDescent="0.2">
      <c r="A491" s="42" t="s">
        <v>268</v>
      </c>
    </row>
    <row r="492" spans="1:1" x14ac:dyDescent="0.2">
      <c r="A492" s="42" t="s">
        <v>1139</v>
      </c>
    </row>
    <row r="493" spans="1:1" x14ac:dyDescent="0.2">
      <c r="A493" s="42" t="s">
        <v>242</v>
      </c>
    </row>
    <row r="494" spans="1:1" x14ac:dyDescent="0.2">
      <c r="A494" s="42" t="s">
        <v>953</v>
      </c>
    </row>
    <row r="495" spans="1:1" x14ac:dyDescent="0.2">
      <c r="A495" s="42" t="s">
        <v>273</v>
      </c>
    </row>
    <row r="496" spans="1:1" x14ac:dyDescent="0.2">
      <c r="A496" s="41" t="s">
        <v>274</v>
      </c>
    </row>
    <row r="497" spans="1:1" x14ac:dyDescent="0.2">
      <c r="A497" s="4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I189"/>
  <sheetViews>
    <sheetView workbookViewId="0">
      <pane ySplit="1" topLeftCell="A2" activePane="bottomLeft" state="frozen"/>
      <selection pane="bottomLeft"/>
    </sheetView>
  </sheetViews>
  <sheetFormatPr defaultRowHeight="12.75" x14ac:dyDescent="0.2"/>
  <cols>
    <col min="1" max="1" width="21" style="112" bestFit="1" customWidth="1"/>
    <col min="2" max="2" width="24.140625" style="112" bestFit="1" customWidth="1"/>
    <col min="3" max="3" width="14.7109375" style="112" bestFit="1" customWidth="1"/>
    <col min="4" max="6" width="9.140625" style="112"/>
    <col min="7" max="7" width="11.42578125" style="112" customWidth="1"/>
    <col min="8" max="16384" width="9.140625" style="112"/>
  </cols>
  <sheetData>
    <row r="1" spans="1:9" x14ac:dyDescent="0.2">
      <c r="A1" s="62" t="s">
        <v>861</v>
      </c>
      <c r="B1" s="62" t="s">
        <v>862</v>
      </c>
      <c r="C1" s="62" t="s">
        <v>863</v>
      </c>
      <c r="D1" s="62" t="s">
        <v>857</v>
      </c>
      <c r="E1" s="62" t="s">
        <v>858</v>
      </c>
      <c r="F1" s="62" t="s">
        <v>202</v>
      </c>
      <c r="G1" s="62" t="s">
        <v>864</v>
      </c>
      <c r="H1" s="62" t="s">
        <v>859</v>
      </c>
      <c r="I1" s="62" t="s">
        <v>860</v>
      </c>
    </row>
    <row r="2" spans="1:9" x14ac:dyDescent="0.2">
      <c r="A2" s="63" t="s">
        <v>1013</v>
      </c>
      <c r="B2" s="63" t="s">
        <v>1</v>
      </c>
      <c r="C2" s="63" t="s">
        <v>934</v>
      </c>
      <c r="D2" s="63" t="s">
        <v>865</v>
      </c>
      <c r="E2" s="63">
        <v>11</v>
      </c>
      <c r="F2" s="63"/>
      <c r="G2" s="63" t="b">
        <v>1</v>
      </c>
      <c r="H2" s="63" t="b">
        <v>1</v>
      </c>
      <c r="I2" s="63" t="b">
        <v>0</v>
      </c>
    </row>
    <row r="3" spans="1:9" x14ac:dyDescent="0.2">
      <c r="A3" s="63" t="s">
        <v>1013</v>
      </c>
      <c r="B3" s="63" t="s">
        <v>788</v>
      </c>
      <c r="C3" s="63" t="s">
        <v>935</v>
      </c>
      <c r="D3" s="63" t="s">
        <v>866</v>
      </c>
      <c r="E3" s="63">
        <v>255</v>
      </c>
      <c r="F3" s="63"/>
      <c r="G3" s="63" t="b">
        <v>1</v>
      </c>
      <c r="H3" s="63" t="b">
        <v>0</v>
      </c>
      <c r="I3" s="63" t="b">
        <v>0</v>
      </c>
    </row>
    <row r="4" spans="1:9" x14ac:dyDescent="0.2">
      <c r="A4" s="63" t="s">
        <v>1013</v>
      </c>
      <c r="B4" s="63" t="s">
        <v>43</v>
      </c>
      <c r="C4" s="63" t="s">
        <v>936</v>
      </c>
      <c r="D4" s="63" t="s">
        <v>866</v>
      </c>
      <c r="E4" s="63">
        <v>255</v>
      </c>
      <c r="F4" s="63" t="s">
        <v>27</v>
      </c>
      <c r="G4" s="63" t="b">
        <v>0</v>
      </c>
      <c r="H4" s="63" t="b">
        <v>0</v>
      </c>
      <c r="I4" s="63" t="b">
        <v>0</v>
      </c>
    </row>
    <row r="5" spans="1:9" x14ac:dyDescent="0.2">
      <c r="A5" s="63" t="s">
        <v>1013</v>
      </c>
      <c r="B5" s="63" t="s">
        <v>954</v>
      </c>
      <c r="C5" s="63" t="s">
        <v>937</v>
      </c>
      <c r="D5" s="63" t="s">
        <v>866</v>
      </c>
      <c r="E5" s="63">
        <v>255</v>
      </c>
      <c r="F5" s="63" t="s">
        <v>27</v>
      </c>
      <c r="G5" s="63" t="b">
        <v>0</v>
      </c>
      <c r="H5" s="63" t="b">
        <v>0</v>
      </c>
      <c r="I5" s="63" t="b">
        <v>0</v>
      </c>
    </row>
    <row r="6" spans="1:9" x14ac:dyDescent="0.2">
      <c r="A6" s="63" t="s">
        <v>1013</v>
      </c>
      <c r="B6" s="63" t="s">
        <v>1387</v>
      </c>
      <c r="C6" s="63" t="s">
        <v>1397</v>
      </c>
      <c r="D6" s="63" t="s">
        <v>865</v>
      </c>
      <c r="E6" s="63">
        <v>11</v>
      </c>
      <c r="F6" s="63" t="s">
        <v>27</v>
      </c>
      <c r="G6" s="63" t="b">
        <v>0</v>
      </c>
      <c r="H6" s="63" t="b">
        <v>0</v>
      </c>
      <c r="I6" s="63" t="b">
        <v>0</v>
      </c>
    </row>
    <row r="7" spans="1:9" x14ac:dyDescent="0.2">
      <c r="A7" s="112" t="s">
        <v>1040</v>
      </c>
      <c r="B7" s="112" t="s">
        <v>1</v>
      </c>
      <c r="C7" s="112" t="s">
        <v>1051</v>
      </c>
      <c r="D7" s="112" t="s">
        <v>865</v>
      </c>
      <c r="E7" s="112">
        <v>11</v>
      </c>
      <c r="G7" s="112" t="b">
        <v>1</v>
      </c>
      <c r="H7" s="112" t="b">
        <v>1</v>
      </c>
      <c r="I7" s="112" t="b">
        <v>0</v>
      </c>
    </row>
    <row r="8" spans="1:9" x14ac:dyDescent="0.2">
      <c r="A8" s="112" t="s">
        <v>1040</v>
      </c>
      <c r="B8" s="112" t="s">
        <v>788</v>
      </c>
      <c r="C8" s="112" t="s">
        <v>1052</v>
      </c>
      <c r="D8" s="112" t="s">
        <v>866</v>
      </c>
      <c r="E8" s="112">
        <v>255</v>
      </c>
      <c r="G8" s="112" t="b">
        <v>1</v>
      </c>
      <c r="H8" s="112" t="b">
        <v>0</v>
      </c>
      <c r="I8" s="112" t="b">
        <v>0</v>
      </c>
    </row>
    <row r="9" spans="1:9" x14ac:dyDescent="0.2">
      <c r="A9" s="112" t="s">
        <v>1040</v>
      </c>
      <c r="B9" s="112" t="s">
        <v>867</v>
      </c>
      <c r="C9" s="112" t="s">
        <v>1053</v>
      </c>
      <c r="D9" s="112" t="s">
        <v>866</v>
      </c>
      <c r="E9" s="112">
        <v>20</v>
      </c>
      <c r="G9" s="112" t="b">
        <v>1</v>
      </c>
      <c r="H9" s="112" t="b">
        <v>0</v>
      </c>
      <c r="I9" s="112" t="b">
        <v>0</v>
      </c>
    </row>
    <row r="10" spans="1:9" x14ac:dyDescent="0.2">
      <c r="A10" s="63" t="s">
        <v>1044</v>
      </c>
      <c r="B10" s="63" t="s">
        <v>1</v>
      </c>
      <c r="C10" s="63" t="s">
        <v>1056</v>
      </c>
      <c r="D10" s="63" t="s">
        <v>865</v>
      </c>
      <c r="E10" s="63">
        <v>11</v>
      </c>
      <c r="F10" s="63"/>
      <c r="G10" s="63" t="b">
        <v>1</v>
      </c>
      <c r="H10" s="63" t="b">
        <v>1</v>
      </c>
      <c r="I10" s="63" t="b">
        <v>0</v>
      </c>
    </row>
    <row r="11" spans="1:9" x14ac:dyDescent="0.2">
      <c r="A11" s="63" t="s">
        <v>1044</v>
      </c>
      <c r="B11" s="63" t="s">
        <v>788</v>
      </c>
      <c r="C11" s="63" t="s">
        <v>1057</v>
      </c>
      <c r="D11" s="63" t="s">
        <v>866</v>
      </c>
      <c r="E11" s="63">
        <v>255</v>
      </c>
      <c r="F11" s="63"/>
      <c r="G11" s="63" t="b">
        <v>1</v>
      </c>
      <c r="H11" s="63" t="b">
        <v>0</v>
      </c>
      <c r="I11" s="63" t="b">
        <v>0</v>
      </c>
    </row>
    <row r="12" spans="1:9" x14ac:dyDescent="0.2">
      <c r="A12" s="63" t="s">
        <v>1044</v>
      </c>
      <c r="B12" s="63" t="s">
        <v>867</v>
      </c>
      <c r="C12" s="63" t="s">
        <v>1058</v>
      </c>
      <c r="D12" s="63" t="s">
        <v>866</v>
      </c>
      <c r="E12" s="63">
        <v>20</v>
      </c>
      <c r="F12" s="63"/>
      <c r="G12" s="63" t="b">
        <v>1</v>
      </c>
      <c r="H12" s="63" t="b">
        <v>0</v>
      </c>
      <c r="I12" s="63" t="b">
        <v>0</v>
      </c>
    </row>
    <row r="13" spans="1:9" x14ac:dyDescent="0.2">
      <c r="A13" s="112" t="s">
        <v>1006</v>
      </c>
      <c r="B13" s="112" t="s">
        <v>1</v>
      </c>
      <c r="C13" s="112" t="s">
        <v>1061</v>
      </c>
      <c r="D13" s="112" t="s">
        <v>865</v>
      </c>
      <c r="E13" s="112">
        <v>11</v>
      </c>
      <c r="G13" s="112" t="b">
        <v>1</v>
      </c>
      <c r="H13" s="112" t="b">
        <v>1</v>
      </c>
      <c r="I13" s="112" t="b">
        <v>0</v>
      </c>
    </row>
    <row r="14" spans="1:9" x14ac:dyDescent="0.2">
      <c r="A14" s="112" t="s">
        <v>1006</v>
      </c>
      <c r="B14" s="112" t="s">
        <v>788</v>
      </c>
      <c r="C14" s="112" t="s">
        <v>1062</v>
      </c>
      <c r="D14" s="112" t="s">
        <v>866</v>
      </c>
      <c r="E14" s="112">
        <v>255</v>
      </c>
      <c r="G14" s="112" t="b">
        <v>1</v>
      </c>
      <c r="H14" s="112" t="b">
        <v>0</v>
      </c>
      <c r="I14" s="112" t="b">
        <v>0</v>
      </c>
    </row>
    <row r="15" spans="1:9" x14ac:dyDescent="0.2">
      <c r="A15" s="112" t="s">
        <v>1006</v>
      </c>
      <c r="B15" s="112" t="s">
        <v>955</v>
      </c>
      <c r="C15" s="112" t="s">
        <v>1063</v>
      </c>
      <c r="D15" s="112" t="s">
        <v>865</v>
      </c>
      <c r="E15" s="112">
        <v>11</v>
      </c>
      <c r="G15" s="112" t="b">
        <v>1</v>
      </c>
      <c r="H15" s="112" t="b">
        <v>0</v>
      </c>
      <c r="I15" s="112" t="b">
        <v>0</v>
      </c>
    </row>
    <row r="16" spans="1:9" x14ac:dyDescent="0.2">
      <c r="A16" s="112" t="s">
        <v>1006</v>
      </c>
      <c r="B16" s="112" t="s">
        <v>1064</v>
      </c>
      <c r="C16" s="112" t="s">
        <v>1065</v>
      </c>
      <c r="D16" s="112" t="s">
        <v>866</v>
      </c>
      <c r="E16" s="112">
        <v>255</v>
      </c>
      <c r="G16" s="112" t="b">
        <v>1</v>
      </c>
      <c r="H16" s="112" t="b">
        <v>0</v>
      </c>
      <c r="I16" s="112" t="b">
        <v>0</v>
      </c>
    </row>
    <row r="17" spans="1:9" x14ac:dyDescent="0.2">
      <c r="A17" s="112" t="s">
        <v>1006</v>
      </c>
      <c r="B17" s="112" t="s">
        <v>927</v>
      </c>
      <c r="C17" s="112" t="s">
        <v>1067</v>
      </c>
      <c r="D17" s="112" t="s">
        <v>869</v>
      </c>
      <c r="G17" s="112" t="b">
        <v>1</v>
      </c>
      <c r="H17" s="112" t="b">
        <v>0</v>
      </c>
      <c r="I17" s="112" t="b">
        <v>0</v>
      </c>
    </row>
    <row r="18" spans="1:9" x14ac:dyDescent="0.2">
      <c r="A18" s="112" t="s">
        <v>1006</v>
      </c>
      <c r="B18" s="112" t="s">
        <v>928</v>
      </c>
      <c r="C18" s="112" t="s">
        <v>1068</v>
      </c>
      <c r="D18" s="112" t="s">
        <v>869</v>
      </c>
      <c r="F18" s="112" t="s">
        <v>27</v>
      </c>
      <c r="G18" s="112" t="b">
        <v>0</v>
      </c>
      <c r="H18" s="112" t="b">
        <v>0</v>
      </c>
      <c r="I18" s="112" t="b">
        <v>0</v>
      </c>
    </row>
    <row r="19" spans="1:9" x14ac:dyDescent="0.2">
      <c r="A19" s="112" t="s">
        <v>1006</v>
      </c>
      <c r="B19" s="112" t="s">
        <v>939</v>
      </c>
      <c r="C19" s="112" t="s">
        <v>1069</v>
      </c>
      <c r="D19" s="112" t="s">
        <v>866</v>
      </c>
      <c r="E19" s="112">
        <v>255</v>
      </c>
      <c r="G19" s="112" t="b">
        <v>1</v>
      </c>
      <c r="H19" s="112" t="b">
        <v>0</v>
      </c>
      <c r="I19" s="112" t="b">
        <v>0</v>
      </c>
    </row>
    <row r="20" spans="1:9" x14ac:dyDescent="0.2">
      <c r="A20" s="112" t="s">
        <v>1006</v>
      </c>
      <c r="B20" s="112" t="s">
        <v>951</v>
      </c>
      <c r="C20" s="112" t="s">
        <v>1070</v>
      </c>
      <c r="D20" s="112" t="s">
        <v>873</v>
      </c>
      <c r="E20" s="112" t="s">
        <v>871</v>
      </c>
      <c r="F20" s="112">
        <v>0</v>
      </c>
      <c r="G20" s="112" t="b">
        <v>1</v>
      </c>
      <c r="H20" s="112" t="b">
        <v>0</v>
      </c>
      <c r="I20" s="112" t="b">
        <v>0</v>
      </c>
    </row>
    <row r="21" spans="1:9" x14ac:dyDescent="0.2">
      <c r="A21" s="112" t="s">
        <v>1006</v>
      </c>
      <c r="B21" s="112" t="s">
        <v>3</v>
      </c>
      <c r="C21" s="112" t="s">
        <v>1071</v>
      </c>
      <c r="D21" s="112" t="s">
        <v>868</v>
      </c>
      <c r="F21" s="112" t="s">
        <v>27</v>
      </c>
      <c r="G21" s="112" t="b">
        <v>0</v>
      </c>
      <c r="H21" s="112" t="b">
        <v>0</v>
      </c>
      <c r="I21" s="112" t="b">
        <v>0</v>
      </c>
    </row>
    <row r="22" spans="1:9" x14ac:dyDescent="0.2">
      <c r="A22" s="112" t="s">
        <v>1006</v>
      </c>
      <c r="B22" s="112" t="s">
        <v>162</v>
      </c>
      <c r="C22" s="112" t="s">
        <v>1072</v>
      </c>
      <c r="D22" s="112" t="s">
        <v>868</v>
      </c>
      <c r="F22" s="112" t="s">
        <v>27</v>
      </c>
      <c r="G22" s="112" t="b">
        <v>0</v>
      </c>
      <c r="H22" s="112" t="b">
        <v>0</v>
      </c>
      <c r="I22" s="112" t="b">
        <v>0</v>
      </c>
    </row>
    <row r="23" spans="1:9" x14ac:dyDescent="0.2">
      <c r="A23" s="63" t="s">
        <v>1007</v>
      </c>
      <c r="B23" s="63" t="s">
        <v>1</v>
      </c>
      <c r="C23" s="63" t="s">
        <v>1075</v>
      </c>
      <c r="D23" s="63" t="s">
        <v>865</v>
      </c>
      <c r="E23" s="63">
        <v>11</v>
      </c>
      <c r="F23" s="63"/>
      <c r="G23" s="63" t="b">
        <v>1</v>
      </c>
      <c r="H23" s="63" t="b">
        <v>1</v>
      </c>
      <c r="I23" s="63" t="b">
        <v>0</v>
      </c>
    </row>
    <row r="24" spans="1:9" x14ac:dyDescent="0.2">
      <c r="A24" s="63" t="s">
        <v>1007</v>
      </c>
      <c r="B24" s="63" t="s">
        <v>926</v>
      </c>
      <c r="C24" s="63" t="s">
        <v>1076</v>
      </c>
      <c r="D24" s="63" t="s">
        <v>865</v>
      </c>
      <c r="E24" s="63">
        <v>11</v>
      </c>
      <c r="F24" s="63"/>
      <c r="G24" s="63" t="b">
        <v>1</v>
      </c>
      <c r="H24" s="63" t="b">
        <v>0</v>
      </c>
      <c r="I24" s="63" t="b">
        <v>0</v>
      </c>
    </row>
    <row r="25" spans="1:9" x14ac:dyDescent="0.2">
      <c r="A25" s="63" t="s">
        <v>1007</v>
      </c>
      <c r="B25" s="63" t="s">
        <v>929</v>
      </c>
      <c r="C25" s="63" t="s">
        <v>1077</v>
      </c>
      <c r="D25" s="63" t="s">
        <v>869</v>
      </c>
      <c r="E25" s="63"/>
      <c r="F25" s="63"/>
      <c r="G25" s="63" t="b">
        <v>1</v>
      </c>
      <c r="H25" s="63" t="b">
        <v>0</v>
      </c>
      <c r="I25" s="63" t="b">
        <v>0</v>
      </c>
    </row>
    <row r="26" spans="1:9" x14ac:dyDescent="0.2">
      <c r="A26" s="63" t="s">
        <v>1007</v>
      </c>
      <c r="B26" s="63" t="s">
        <v>1140</v>
      </c>
      <c r="C26" s="63" t="s">
        <v>1078</v>
      </c>
      <c r="D26" s="63" t="s">
        <v>869</v>
      </c>
      <c r="E26" s="63"/>
      <c r="F26" s="63" t="s">
        <v>27</v>
      </c>
      <c r="G26" s="63" t="b">
        <v>0</v>
      </c>
      <c r="H26" s="63" t="b">
        <v>0</v>
      </c>
      <c r="I26" s="63" t="b">
        <v>0</v>
      </c>
    </row>
    <row r="27" spans="1:9" x14ac:dyDescent="0.2">
      <c r="A27" s="63" t="s">
        <v>1007</v>
      </c>
      <c r="B27" s="63" t="s">
        <v>930</v>
      </c>
      <c r="C27" s="63" t="s">
        <v>1079</v>
      </c>
      <c r="D27" s="63" t="s">
        <v>873</v>
      </c>
      <c r="E27" s="63" t="s">
        <v>871</v>
      </c>
      <c r="F27" s="63">
        <v>0</v>
      </c>
      <c r="G27" s="63" t="b">
        <v>1</v>
      </c>
      <c r="H27" s="63" t="b">
        <v>0</v>
      </c>
      <c r="I27" s="63" t="b">
        <v>0</v>
      </c>
    </row>
    <row r="28" spans="1:9" x14ac:dyDescent="0.2">
      <c r="A28" s="63" t="s">
        <v>1007</v>
      </c>
      <c r="B28" s="63" t="s">
        <v>945</v>
      </c>
      <c r="C28" s="63" t="s">
        <v>1080</v>
      </c>
      <c r="D28" s="63" t="s">
        <v>873</v>
      </c>
      <c r="E28" s="63" t="s">
        <v>871</v>
      </c>
      <c r="F28" s="63">
        <v>0</v>
      </c>
      <c r="G28" s="63" t="b">
        <v>0</v>
      </c>
      <c r="H28" s="63" t="b">
        <v>0</v>
      </c>
      <c r="I28" s="63" t="b">
        <v>0</v>
      </c>
    </row>
    <row r="29" spans="1:9" x14ac:dyDescent="0.2">
      <c r="A29" s="63" t="s">
        <v>1007</v>
      </c>
      <c r="B29" s="63" t="s">
        <v>1131</v>
      </c>
      <c r="C29" s="63" t="s">
        <v>1081</v>
      </c>
      <c r="D29" s="63" t="s">
        <v>866</v>
      </c>
      <c r="E29" s="63">
        <v>255</v>
      </c>
      <c r="F29" s="63"/>
      <c r="G29" s="63" t="b">
        <v>1</v>
      </c>
      <c r="H29" s="63" t="b">
        <v>0</v>
      </c>
      <c r="I29" s="63" t="b">
        <v>0</v>
      </c>
    </row>
    <row r="30" spans="1:9" x14ac:dyDescent="0.2">
      <c r="A30" s="63" t="s">
        <v>1007</v>
      </c>
      <c r="B30" s="63" t="s">
        <v>946</v>
      </c>
      <c r="C30" s="63" t="s">
        <v>1082</v>
      </c>
      <c r="D30" s="63" t="s">
        <v>873</v>
      </c>
      <c r="E30" s="63" t="s">
        <v>871</v>
      </c>
      <c r="F30" s="63">
        <v>0</v>
      </c>
      <c r="G30" s="63" t="b">
        <v>0</v>
      </c>
      <c r="H30" s="63" t="b">
        <v>0</v>
      </c>
      <c r="I30" s="63" t="b">
        <v>0</v>
      </c>
    </row>
    <row r="31" spans="1:9" x14ac:dyDescent="0.2">
      <c r="A31" s="63" t="s">
        <v>1007</v>
      </c>
      <c r="B31" s="63" t="s">
        <v>931</v>
      </c>
      <c r="C31" s="63" t="s">
        <v>1083</v>
      </c>
      <c r="D31" s="63" t="s">
        <v>869</v>
      </c>
      <c r="E31" s="63"/>
      <c r="F31" s="63" t="s">
        <v>27</v>
      </c>
      <c r="G31" s="63" t="b">
        <v>0</v>
      </c>
      <c r="H31" s="63" t="b">
        <v>0</v>
      </c>
      <c r="I31" s="63" t="b">
        <v>0</v>
      </c>
    </row>
    <row r="32" spans="1:9" x14ac:dyDescent="0.2">
      <c r="A32" s="63" t="s">
        <v>1007</v>
      </c>
      <c r="B32" s="63" t="s">
        <v>958</v>
      </c>
      <c r="C32" s="63" t="s">
        <v>1084</v>
      </c>
      <c r="D32" s="63" t="s">
        <v>866</v>
      </c>
      <c r="E32" s="63">
        <v>255</v>
      </c>
      <c r="F32" s="63" t="s">
        <v>27</v>
      </c>
      <c r="G32" s="63" t="b">
        <v>0</v>
      </c>
      <c r="H32" s="63" t="b">
        <v>0</v>
      </c>
      <c r="I32" s="63" t="b">
        <v>0</v>
      </c>
    </row>
    <row r="33" spans="1:9" x14ac:dyDescent="0.2">
      <c r="A33" s="63" t="s">
        <v>1007</v>
      </c>
      <c r="B33" s="63" t="s">
        <v>162</v>
      </c>
      <c r="C33" s="63" t="s">
        <v>1162</v>
      </c>
      <c r="D33" s="63" t="s">
        <v>868</v>
      </c>
      <c r="E33" s="63"/>
      <c r="F33" s="63" t="s">
        <v>27</v>
      </c>
      <c r="G33" s="63" t="b">
        <v>0</v>
      </c>
      <c r="H33" s="63" t="b">
        <v>0</v>
      </c>
      <c r="I33" s="63" t="b">
        <v>0</v>
      </c>
    </row>
    <row r="34" spans="1:9" x14ac:dyDescent="0.2">
      <c r="A34" s="112" t="s">
        <v>1008</v>
      </c>
      <c r="B34" s="112" t="s">
        <v>1</v>
      </c>
      <c r="C34" s="112" t="s">
        <v>1163</v>
      </c>
      <c r="D34" s="112" t="s">
        <v>865</v>
      </c>
      <c r="E34" s="112">
        <v>11</v>
      </c>
      <c r="G34" s="112" t="b">
        <v>1</v>
      </c>
      <c r="H34" s="112" t="b">
        <v>1</v>
      </c>
      <c r="I34" s="112" t="b">
        <v>0</v>
      </c>
    </row>
    <row r="35" spans="1:9" x14ac:dyDescent="0.2">
      <c r="A35" s="112" t="s">
        <v>1008</v>
      </c>
      <c r="B35" s="112" t="s">
        <v>926</v>
      </c>
      <c r="C35" s="112" t="s">
        <v>1164</v>
      </c>
      <c r="D35" s="112" t="s">
        <v>865</v>
      </c>
      <c r="E35" s="112">
        <v>11</v>
      </c>
      <c r="G35" s="112" t="b">
        <v>1</v>
      </c>
      <c r="H35" s="112" t="b">
        <v>0</v>
      </c>
      <c r="I35" s="112" t="b">
        <v>0</v>
      </c>
    </row>
    <row r="36" spans="1:9" x14ac:dyDescent="0.2">
      <c r="A36" s="112" t="s">
        <v>1008</v>
      </c>
      <c r="B36" s="112" t="s">
        <v>870</v>
      </c>
      <c r="C36" s="112" t="s">
        <v>1165</v>
      </c>
      <c r="D36" s="112" t="s">
        <v>869</v>
      </c>
      <c r="G36" s="112" t="b">
        <v>1</v>
      </c>
      <c r="H36" s="112" t="b">
        <v>0</v>
      </c>
      <c r="I36" s="112" t="b">
        <v>0</v>
      </c>
    </row>
    <row r="37" spans="1:9" x14ac:dyDescent="0.2">
      <c r="A37" s="112" t="s">
        <v>1008</v>
      </c>
      <c r="B37" s="112" t="s">
        <v>931</v>
      </c>
      <c r="C37" s="112" t="s">
        <v>1166</v>
      </c>
      <c r="D37" s="112" t="s">
        <v>869</v>
      </c>
      <c r="G37" s="112" t="b">
        <v>1</v>
      </c>
      <c r="H37" s="112" t="b">
        <v>0</v>
      </c>
      <c r="I37" s="112" t="b">
        <v>0</v>
      </c>
    </row>
    <row r="38" spans="1:9" x14ac:dyDescent="0.2">
      <c r="A38" s="112" t="s">
        <v>1008</v>
      </c>
      <c r="B38" s="112" t="s">
        <v>946</v>
      </c>
      <c r="C38" s="112" t="s">
        <v>1167</v>
      </c>
      <c r="D38" s="112" t="s">
        <v>873</v>
      </c>
      <c r="E38" s="112" t="s">
        <v>871</v>
      </c>
      <c r="F38" s="112">
        <v>0</v>
      </c>
      <c r="G38" s="112" t="b">
        <v>1</v>
      </c>
      <c r="H38" s="112" t="b">
        <v>0</v>
      </c>
      <c r="I38" s="112" t="b">
        <v>0</v>
      </c>
    </row>
    <row r="39" spans="1:9" x14ac:dyDescent="0.2">
      <c r="A39" s="112" t="s">
        <v>1008</v>
      </c>
      <c r="B39" s="112" t="s">
        <v>958</v>
      </c>
      <c r="C39" s="112" t="s">
        <v>1168</v>
      </c>
      <c r="D39" s="112" t="s">
        <v>866</v>
      </c>
      <c r="E39" s="112">
        <v>255</v>
      </c>
      <c r="F39" s="112" t="s">
        <v>27</v>
      </c>
      <c r="G39" s="112" t="b">
        <v>0</v>
      </c>
      <c r="H39" s="112" t="b">
        <v>0</v>
      </c>
      <c r="I39" s="112" t="b">
        <v>0</v>
      </c>
    </row>
    <row r="40" spans="1:9" x14ac:dyDescent="0.2">
      <c r="A40" s="112" t="s">
        <v>1008</v>
      </c>
      <c r="B40" s="112" t="s">
        <v>162</v>
      </c>
      <c r="C40" s="112" t="s">
        <v>1169</v>
      </c>
      <c r="D40" s="112" t="s">
        <v>868</v>
      </c>
      <c r="F40" s="112" t="s">
        <v>27</v>
      </c>
      <c r="G40" s="112" t="b">
        <v>0</v>
      </c>
      <c r="H40" s="112" t="b">
        <v>0</v>
      </c>
      <c r="I40" s="112" t="b">
        <v>0</v>
      </c>
    </row>
    <row r="41" spans="1:9" x14ac:dyDescent="0.2">
      <c r="A41" s="63" t="s">
        <v>1141</v>
      </c>
      <c r="B41" s="63" t="s">
        <v>1</v>
      </c>
      <c r="C41" s="63" t="s">
        <v>1089</v>
      </c>
      <c r="D41" s="63" t="s">
        <v>865</v>
      </c>
      <c r="E41" s="63">
        <v>11</v>
      </c>
      <c r="F41" s="63"/>
      <c r="G41" s="63" t="b">
        <v>1</v>
      </c>
      <c r="H41" s="63" t="b">
        <v>1</v>
      </c>
      <c r="I41" s="63" t="b">
        <v>0</v>
      </c>
    </row>
    <row r="42" spans="1:9" x14ac:dyDescent="0.2">
      <c r="A42" s="63" t="s">
        <v>1141</v>
      </c>
      <c r="B42" s="63" t="s">
        <v>788</v>
      </c>
      <c r="C42" s="63" t="s">
        <v>1090</v>
      </c>
      <c r="D42" s="63" t="s">
        <v>866</v>
      </c>
      <c r="E42" s="63">
        <v>255</v>
      </c>
      <c r="F42" s="63"/>
      <c r="G42" s="63" t="b">
        <v>1</v>
      </c>
      <c r="H42" s="63" t="b">
        <v>0</v>
      </c>
      <c r="I42" s="63" t="b">
        <v>0</v>
      </c>
    </row>
    <row r="43" spans="1:9" x14ac:dyDescent="0.2">
      <c r="A43" s="63" t="s">
        <v>1141</v>
      </c>
      <c r="B43" s="63" t="s">
        <v>964</v>
      </c>
      <c r="C43" s="63" t="s">
        <v>1091</v>
      </c>
      <c r="D43" s="63" t="s">
        <v>866</v>
      </c>
      <c r="E43" s="63">
        <v>255</v>
      </c>
      <c r="F43" s="63" t="s">
        <v>27</v>
      </c>
      <c r="G43" s="63" t="b">
        <v>0</v>
      </c>
      <c r="H43" s="63" t="b">
        <v>0</v>
      </c>
      <c r="I43" s="63" t="b">
        <v>0</v>
      </c>
    </row>
    <row r="44" spans="1:9" x14ac:dyDescent="0.2">
      <c r="A44" s="112" t="s">
        <v>1152</v>
      </c>
      <c r="B44" s="112" t="s">
        <v>1</v>
      </c>
      <c r="C44" s="112" t="s">
        <v>1094</v>
      </c>
      <c r="D44" s="112" t="s">
        <v>865</v>
      </c>
      <c r="E44" s="112">
        <v>11</v>
      </c>
      <c r="G44" s="112" t="b">
        <v>1</v>
      </c>
      <c r="H44" s="112" t="b">
        <v>1</v>
      </c>
      <c r="I44" s="112" t="b">
        <v>0</v>
      </c>
    </row>
    <row r="45" spans="1:9" x14ac:dyDescent="0.2">
      <c r="A45" s="112" t="s">
        <v>1152</v>
      </c>
      <c r="B45" s="112" t="s">
        <v>788</v>
      </c>
      <c r="C45" s="112" t="s">
        <v>1095</v>
      </c>
      <c r="D45" s="112" t="s">
        <v>866</v>
      </c>
      <c r="E45" s="112">
        <v>255</v>
      </c>
      <c r="G45" s="112" t="b">
        <v>1</v>
      </c>
      <c r="H45" s="112" t="b">
        <v>0</v>
      </c>
      <c r="I45" s="112" t="b">
        <v>0</v>
      </c>
    </row>
    <row r="46" spans="1:9" x14ac:dyDescent="0.2">
      <c r="A46" s="112" t="s">
        <v>1152</v>
      </c>
      <c r="B46" s="112" t="s">
        <v>867</v>
      </c>
      <c r="C46" s="112" t="s">
        <v>1096</v>
      </c>
      <c r="D46" s="112" t="s">
        <v>866</v>
      </c>
      <c r="E46" s="112">
        <v>20</v>
      </c>
      <c r="G46" s="112" t="b">
        <v>1</v>
      </c>
      <c r="H46" s="112" t="b">
        <v>0</v>
      </c>
      <c r="I46" s="112" t="b">
        <v>0</v>
      </c>
    </row>
    <row r="47" spans="1:9" x14ac:dyDescent="0.2">
      <c r="A47" s="63" t="s">
        <v>1153</v>
      </c>
      <c r="B47" s="63" t="s">
        <v>1</v>
      </c>
      <c r="C47" s="63" t="s">
        <v>1176</v>
      </c>
      <c r="D47" s="63" t="s">
        <v>865</v>
      </c>
      <c r="E47" s="63">
        <v>11</v>
      </c>
      <c r="F47" s="63"/>
      <c r="G47" s="63" t="b">
        <v>1</v>
      </c>
      <c r="H47" s="63" t="b">
        <v>1</v>
      </c>
      <c r="I47" s="63" t="b">
        <v>0</v>
      </c>
    </row>
    <row r="48" spans="1:9" x14ac:dyDescent="0.2">
      <c r="A48" s="63" t="s">
        <v>1153</v>
      </c>
      <c r="B48" s="63" t="s">
        <v>788</v>
      </c>
      <c r="C48" s="63" t="s">
        <v>1177</v>
      </c>
      <c r="D48" s="63" t="s">
        <v>866</v>
      </c>
      <c r="E48" s="63">
        <v>255</v>
      </c>
      <c r="F48" s="63"/>
      <c r="G48" s="63" t="b">
        <v>1</v>
      </c>
      <c r="H48" s="63" t="b">
        <v>0</v>
      </c>
      <c r="I48" s="63" t="b">
        <v>0</v>
      </c>
    </row>
    <row r="49" spans="1:9" x14ac:dyDescent="0.2">
      <c r="A49" s="63" t="s">
        <v>1153</v>
      </c>
      <c r="B49" s="63" t="s">
        <v>867</v>
      </c>
      <c r="C49" s="63" t="s">
        <v>1178</v>
      </c>
      <c r="D49" s="63" t="s">
        <v>866</v>
      </c>
      <c r="E49" s="63">
        <v>20</v>
      </c>
      <c r="F49" s="63"/>
      <c r="G49" s="63" t="b">
        <v>1</v>
      </c>
      <c r="H49" s="63" t="b">
        <v>0</v>
      </c>
      <c r="I49" s="63" t="b">
        <v>0</v>
      </c>
    </row>
    <row r="50" spans="1:9" x14ac:dyDescent="0.2">
      <c r="A50" s="112" t="s">
        <v>773</v>
      </c>
      <c r="B50" s="112" t="s">
        <v>1</v>
      </c>
      <c r="C50" s="112" t="s">
        <v>988</v>
      </c>
      <c r="D50" s="112" t="s">
        <v>865</v>
      </c>
      <c r="E50" s="112">
        <v>11</v>
      </c>
      <c r="G50" s="112" t="b">
        <v>1</v>
      </c>
      <c r="H50" s="112" t="b">
        <v>1</v>
      </c>
      <c r="I50" s="112" t="b">
        <v>0</v>
      </c>
    </row>
    <row r="51" spans="1:9" x14ac:dyDescent="0.2">
      <c r="A51" s="112" t="s">
        <v>773</v>
      </c>
      <c r="B51" s="112" t="s">
        <v>788</v>
      </c>
      <c r="C51" s="112" t="s">
        <v>989</v>
      </c>
      <c r="D51" s="112" t="s">
        <v>866</v>
      </c>
      <c r="E51" s="112">
        <v>255</v>
      </c>
      <c r="G51" s="112" t="b">
        <v>1</v>
      </c>
      <c r="H51" s="112" t="b">
        <v>0</v>
      </c>
      <c r="I51" s="112" t="b">
        <v>0</v>
      </c>
    </row>
    <row r="52" spans="1:9" x14ac:dyDescent="0.2">
      <c r="A52" s="112" t="s">
        <v>773</v>
      </c>
      <c r="B52" s="112" t="s">
        <v>1144</v>
      </c>
      <c r="C52" s="112" t="s">
        <v>990</v>
      </c>
      <c r="D52" s="112" t="s">
        <v>865</v>
      </c>
      <c r="E52" s="112">
        <v>11</v>
      </c>
      <c r="G52" s="112" t="b">
        <v>1</v>
      </c>
      <c r="H52" s="112" t="b">
        <v>0</v>
      </c>
      <c r="I52" s="112" t="b">
        <v>0</v>
      </c>
    </row>
    <row r="53" spans="1:9" x14ac:dyDescent="0.2">
      <c r="A53" s="112" t="s">
        <v>773</v>
      </c>
      <c r="B53" s="112" t="s">
        <v>1151</v>
      </c>
      <c r="C53" s="112" t="s">
        <v>991</v>
      </c>
      <c r="D53" s="112" t="s">
        <v>866</v>
      </c>
      <c r="E53" s="112">
        <v>255</v>
      </c>
      <c r="G53" s="112" t="b">
        <v>1</v>
      </c>
      <c r="H53" s="112" t="b">
        <v>0</v>
      </c>
      <c r="I53" s="112" t="b">
        <v>0</v>
      </c>
    </row>
    <row r="54" spans="1:9" x14ac:dyDescent="0.2">
      <c r="A54" s="112" t="s">
        <v>773</v>
      </c>
      <c r="B54" s="112" t="s">
        <v>870</v>
      </c>
      <c r="C54" s="112" t="s">
        <v>992</v>
      </c>
      <c r="D54" s="112" t="s">
        <v>869</v>
      </c>
      <c r="F54" s="112" t="s">
        <v>27</v>
      </c>
      <c r="G54" s="112" t="b">
        <v>0</v>
      </c>
      <c r="H54" s="112" t="b">
        <v>0</v>
      </c>
      <c r="I54" s="112" t="b">
        <v>0</v>
      </c>
    </row>
    <row r="55" spans="1:9" x14ac:dyDescent="0.2">
      <c r="A55" s="112" t="s">
        <v>773</v>
      </c>
      <c r="B55" s="112" t="s">
        <v>939</v>
      </c>
      <c r="C55" s="112" t="s">
        <v>993</v>
      </c>
      <c r="D55" s="112" t="s">
        <v>866</v>
      </c>
      <c r="E55" s="112">
        <v>255</v>
      </c>
      <c r="G55" s="112" t="b">
        <v>1</v>
      </c>
      <c r="H55" s="112" t="b">
        <v>0</v>
      </c>
      <c r="I55" s="112" t="b">
        <v>0</v>
      </c>
    </row>
    <row r="56" spans="1:9" x14ac:dyDescent="0.2">
      <c r="A56" s="112" t="s">
        <v>773</v>
      </c>
      <c r="B56" s="112" t="s">
        <v>1157</v>
      </c>
      <c r="C56" s="112" t="s">
        <v>994</v>
      </c>
      <c r="D56" s="112" t="s">
        <v>866</v>
      </c>
      <c r="E56" s="112">
        <v>255</v>
      </c>
      <c r="F56" s="112" t="s">
        <v>27</v>
      </c>
      <c r="G56" s="112" t="b">
        <v>0</v>
      </c>
      <c r="H56" s="112" t="b">
        <v>0</v>
      </c>
      <c r="I56" s="112" t="b">
        <v>0</v>
      </c>
    </row>
    <row r="57" spans="1:9" x14ac:dyDescent="0.2">
      <c r="A57" s="112" t="s">
        <v>773</v>
      </c>
      <c r="B57" s="112" t="s">
        <v>1158</v>
      </c>
      <c r="C57" s="112" t="s">
        <v>995</v>
      </c>
      <c r="D57" s="112" t="s">
        <v>866</v>
      </c>
      <c r="E57" s="112">
        <v>255</v>
      </c>
      <c r="F57" s="112" t="s">
        <v>27</v>
      </c>
      <c r="G57" s="112" t="b">
        <v>0</v>
      </c>
      <c r="H57" s="112" t="b">
        <v>0</v>
      </c>
      <c r="I57" s="112" t="b">
        <v>0</v>
      </c>
    </row>
    <row r="58" spans="1:9" x14ac:dyDescent="0.2">
      <c r="A58" s="112" t="s">
        <v>773</v>
      </c>
      <c r="B58" s="112" t="s">
        <v>1159</v>
      </c>
      <c r="C58" s="112" t="s">
        <v>996</v>
      </c>
      <c r="D58" s="112" t="s">
        <v>866</v>
      </c>
      <c r="E58" s="112">
        <v>255</v>
      </c>
      <c r="F58" s="112" t="s">
        <v>27</v>
      </c>
      <c r="G58" s="112" t="b">
        <v>0</v>
      </c>
      <c r="H58" s="112" t="b">
        <v>0</v>
      </c>
      <c r="I58" s="112" t="b">
        <v>0</v>
      </c>
    </row>
    <row r="59" spans="1:9" x14ac:dyDescent="0.2">
      <c r="A59" s="112" t="s">
        <v>773</v>
      </c>
      <c r="B59" s="112" t="s">
        <v>1160</v>
      </c>
      <c r="C59" s="112" t="s">
        <v>1184</v>
      </c>
      <c r="D59" s="112" t="s">
        <v>866</v>
      </c>
      <c r="E59" s="112">
        <v>255</v>
      </c>
      <c r="F59" s="112" t="s">
        <v>27</v>
      </c>
      <c r="G59" s="112" t="b">
        <v>0</v>
      </c>
      <c r="H59" s="112" t="b">
        <v>0</v>
      </c>
      <c r="I59" s="112" t="b">
        <v>0</v>
      </c>
    </row>
    <row r="60" spans="1:9" x14ac:dyDescent="0.2">
      <c r="A60" s="112" t="s">
        <v>773</v>
      </c>
      <c r="B60" s="112" t="s">
        <v>3</v>
      </c>
      <c r="C60" s="112" t="s">
        <v>1186</v>
      </c>
      <c r="D60" s="112" t="s">
        <v>868</v>
      </c>
      <c r="F60" s="112" t="s">
        <v>27</v>
      </c>
      <c r="G60" s="112" t="b">
        <v>0</v>
      </c>
      <c r="H60" s="112" t="b">
        <v>0</v>
      </c>
      <c r="I60" s="112" t="b">
        <v>0</v>
      </c>
    </row>
    <row r="61" spans="1:9" x14ac:dyDescent="0.2">
      <c r="A61" s="112" t="s">
        <v>773</v>
      </c>
      <c r="B61" s="112" t="s">
        <v>162</v>
      </c>
      <c r="C61" s="112" t="s">
        <v>1187</v>
      </c>
      <c r="D61" s="112" t="s">
        <v>868</v>
      </c>
      <c r="F61" s="112" t="s">
        <v>27</v>
      </c>
      <c r="G61" s="112" t="b">
        <v>0</v>
      </c>
      <c r="H61" s="112" t="b">
        <v>0</v>
      </c>
      <c r="I61" s="112" t="b">
        <v>0</v>
      </c>
    </row>
    <row r="62" spans="1:9" x14ac:dyDescent="0.2">
      <c r="A62" s="63" t="s">
        <v>1149</v>
      </c>
      <c r="B62" s="63" t="s">
        <v>1</v>
      </c>
      <c r="C62" s="63" t="s">
        <v>997</v>
      </c>
      <c r="D62" s="63" t="s">
        <v>865</v>
      </c>
      <c r="E62" s="63">
        <v>11</v>
      </c>
      <c r="F62" s="63"/>
      <c r="G62" s="63" t="b">
        <v>1</v>
      </c>
      <c r="H62" s="63" t="b">
        <v>1</v>
      </c>
      <c r="I62" s="63" t="b">
        <v>0</v>
      </c>
    </row>
    <row r="63" spans="1:9" x14ac:dyDescent="0.2">
      <c r="A63" s="63" t="s">
        <v>1149</v>
      </c>
      <c r="B63" s="63" t="s">
        <v>1190</v>
      </c>
      <c r="C63" s="63" t="s">
        <v>998</v>
      </c>
      <c r="D63" s="63" t="s">
        <v>865</v>
      </c>
      <c r="E63" s="63">
        <v>11</v>
      </c>
      <c r="F63" s="63"/>
      <c r="G63" s="63" t="b">
        <v>1</v>
      </c>
      <c r="H63" s="63" t="b">
        <v>0</v>
      </c>
      <c r="I63" s="63" t="b">
        <v>0</v>
      </c>
    </row>
    <row r="64" spans="1:9" x14ac:dyDescent="0.2">
      <c r="A64" s="63" t="s">
        <v>1149</v>
      </c>
      <c r="B64" s="63" t="s">
        <v>1156</v>
      </c>
      <c r="C64" s="63" t="s">
        <v>999</v>
      </c>
      <c r="D64" s="63" t="s">
        <v>869</v>
      </c>
      <c r="E64" s="63"/>
      <c r="F64" s="63" t="s">
        <v>27</v>
      </c>
      <c r="G64" s="63" t="b">
        <v>0</v>
      </c>
      <c r="H64" s="63" t="b">
        <v>0</v>
      </c>
      <c r="I64" s="63" t="b">
        <v>0</v>
      </c>
    </row>
    <row r="65" spans="1:9" x14ac:dyDescent="0.2">
      <c r="A65" s="63" t="s">
        <v>1149</v>
      </c>
      <c r="B65" s="63" t="s">
        <v>1154</v>
      </c>
      <c r="C65" s="63" t="s">
        <v>1000</v>
      </c>
      <c r="D65" s="63" t="s">
        <v>869</v>
      </c>
      <c r="E65" s="63"/>
      <c r="F65" s="63" t="s">
        <v>27</v>
      </c>
      <c r="G65" s="63" t="b">
        <v>0</v>
      </c>
      <c r="H65" s="63" t="b">
        <v>0</v>
      </c>
      <c r="I65" s="63" t="b">
        <v>0</v>
      </c>
    </row>
    <row r="66" spans="1:9" x14ac:dyDescent="0.2">
      <c r="A66" s="63" t="s">
        <v>1149</v>
      </c>
      <c r="B66" s="63" t="s">
        <v>1155</v>
      </c>
      <c r="C66" s="63" t="s">
        <v>1001</v>
      </c>
      <c r="D66" s="63" t="s">
        <v>869</v>
      </c>
      <c r="E66" s="63"/>
      <c r="F66" s="63" t="s">
        <v>27</v>
      </c>
      <c r="G66" s="63" t="b">
        <v>0</v>
      </c>
      <c r="H66" s="63" t="b">
        <v>0</v>
      </c>
      <c r="I66" s="63" t="b">
        <v>0</v>
      </c>
    </row>
    <row r="67" spans="1:9" x14ac:dyDescent="0.2">
      <c r="A67" s="63" t="s">
        <v>1149</v>
      </c>
      <c r="B67" s="63" t="s">
        <v>1140</v>
      </c>
      <c r="C67" s="63" t="s">
        <v>1195</v>
      </c>
      <c r="D67" s="63" t="s">
        <v>869</v>
      </c>
      <c r="E67" s="63"/>
      <c r="F67" s="63" t="s">
        <v>27</v>
      </c>
      <c r="G67" s="63" t="b">
        <v>0</v>
      </c>
      <c r="H67" s="63" t="b">
        <v>0</v>
      </c>
      <c r="I67" s="63" t="b">
        <v>0</v>
      </c>
    </row>
    <row r="68" spans="1:9" x14ac:dyDescent="0.2">
      <c r="A68" s="63" t="s">
        <v>1149</v>
      </c>
      <c r="B68" s="63" t="s">
        <v>930</v>
      </c>
      <c r="C68" s="63" t="s">
        <v>1196</v>
      </c>
      <c r="D68" s="63" t="s">
        <v>873</v>
      </c>
      <c r="E68" s="63" t="s">
        <v>871</v>
      </c>
      <c r="F68" s="63">
        <v>0</v>
      </c>
      <c r="G68" s="63" t="b">
        <v>1</v>
      </c>
      <c r="H68" s="63" t="b">
        <v>0</v>
      </c>
      <c r="I68" s="63" t="b">
        <v>0</v>
      </c>
    </row>
    <row r="69" spans="1:9" x14ac:dyDescent="0.2">
      <c r="A69" s="63" t="s">
        <v>1149</v>
      </c>
      <c r="B69" s="63" t="s">
        <v>945</v>
      </c>
      <c r="C69" s="63" t="s">
        <v>1197</v>
      </c>
      <c r="D69" s="63" t="s">
        <v>873</v>
      </c>
      <c r="E69" s="63" t="s">
        <v>871</v>
      </c>
      <c r="F69" s="63">
        <v>0</v>
      </c>
      <c r="G69" s="63" t="b">
        <v>0</v>
      </c>
      <c r="H69" s="63" t="b">
        <v>0</v>
      </c>
      <c r="I69" s="63" t="b">
        <v>0</v>
      </c>
    </row>
    <row r="70" spans="1:9" x14ac:dyDescent="0.2">
      <c r="A70" s="63" t="s">
        <v>1149</v>
      </c>
      <c r="B70" s="63" t="s">
        <v>1198</v>
      </c>
      <c r="C70" s="63" t="s">
        <v>1199</v>
      </c>
      <c r="D70" s="63" t="s">
        <v>866</v>
      </c>
      <c r="E70" s="63">
        <v>255</v>
      </c>
      <c r="F70" s="63"/>
      <c r="G70" s="63" t="b">
        <v>1</v>
      </c>
      <c r="H70" s="63" t="b">
        <v>0</v>
      </c>
      <c r="I70" s="63" t="b">
        <v>0</v>
      </c>
    </row>
    <row r="71" spans="1:9" x14ac:dyDescent="0.2">
      <c r="A71" s="63" t="s">
        <v>1149</v>
      </c>
      <c r="B71" s="63" t="s">
        <v>946</v>
      </c>
      <c r="C71" s="63" t="s">
        <v>1201</v>
      </c>
      <c r="D71" s="63" t="s">
        <v>873</v>
      </c>
      <c r="E71" s="63" t="s">
        <v>871</v>
      </c>
      <c r="F71" s="63">
        <v>0</v>
      </c>
      <c r="G71" s="63" t="b">
        <v>0</v>
      </c>
      <c r="H71" s="63" t="b">
        <v>0</v>
      </c>
      <c r="I71" s="63" t="b">
        <v>0</v>
      </c>
    </row>
    <row r="72" spans="1:9" x14ac:dyDescent="0.2">
      <c r="A72" s="63" t="s">
        <v>1149</v>
      </c>
      <c r="B72" s="63" t="s">
        <v>931</v>
      </c>
      <c r="C72" s="63" t="s">
        <v>1202</v>
      </c>
      <c r="D72" s="63" t="s">
        <v>869</v>
      </c>
      <c r="E72" s="63"/>
      <c r="F72" s="63" t="s">
        <v>27</v>
      </c>
      <c r="G72" s="63" t="b">
        <v>0</v>
      </c>
      <c r="H72" s="63" t="b">
        <v>0</v>
      </c>
      <c r="I72" s="63" t="b">
        <v>0</v>
      </c>
    </row>
    <row r="73" spans="1:9" x14ac:dyDescent="0.2">
      <c r="A73" s="63" t="s">
        <v>1149</v>
      </c>
      <c r="B73" s="63" t="s">
        <v>958</v>
      </c>
      <c r="C73" s="63" t="s">
        <v>1203</v>
      </c>
      <c r="D73" s="63" t="s">
        <v>866</v>
      </c>
      <c r="E73" s="63">
        <v>255</v>
      </c>
      <c r="F73" s="63" t="s">
        <v>27</v>
      </c>
      <c r="G73" s="63" t="b">
        <v>0</v>
      </c>
      <c r="H73" s="63" t="b">
        <v>0</v>
      </c>
      <c r="I73" s="63" t="b">
        <v>0</v>
      </c>
    </row>
    <row r="74" spans="1:9" x14ac:dyDescent="0.2">
      <c r="A74" s="63" t="s">
        <v>1149</v>
      </c>
      <c r="B74" s="63" t="s">
        <v>162</v>
      </c>
      <c r="C74" s="63" t="s">
        <v>1204</v>
      </c>
      <c r="D74" s="63" t="s">
        <v>868</v>
      </c>
      <c r="E74" s="63"/>
      <c r="F74" s="63" t="s">
        <v>27</v>
      </c>
      <c r="G74" s="63" t="b">
        <v>0</v>
      </c>
      <c r="H74" s="63" t="b">
        <v>0</v>
      </c>
      <c r="I74" s="63" t="b">
        <v>0</v>
      </c>
    </row>
    <row r="75" spans="1:9" x14ac:dyDescent="0.2">
      <c r="A75" s="112" t="s">
        <v>1009</v>
      </c>
      <c r="B75" s="112" t="s">
        <v>1</v>
      </c>
      <c r="C75" s="112" t="s">
        <v>878</v>
      </c>
      <c r="D75" s="112" t="s">
        <v>865</v>
      </c>
      <c r="E75" s="112">
        <v>11</v>
      </c>
      <c r="G75" s="112" t="b">
        <v>1</v>
      </c>
      <c r="H75" s="112" t="b">
        <v>1</v>
      </c>
      <c r="I75" s="112" t="b">
        <v>0</v>
      </c>
    </row>
    <row r="76" spans="1:9" x14ac:dyDescent="0.2">
      <c r="A76" s="112" t="s">
        <v>1009</v>
      </c>
      <c r="B76" s="112" t="s">
        <v>788</v>
      </c>
      <c r="C76" s="112" t="s">
        <v>876</v>
      </c>
      <c r="D76" s="112" t="s">
        <v>866</v>
      </c>
      <c r="E76" s="112">
        <v>255</v>
      </c>
      <c r="G76" s="112" t="b">
        <v>1</v>
      </c>
      <c r="H76" s="112" t="b">
        <v>0</v>
      </c>
      <c r="I76" s="112" t="b">
        <v>0</v>
      </c>
    </row>
    <row r="77" spans="1:9" x14ac:dyDescent="0.2">
      <c r="A77" s="112" t="s">
        <v>1009</v>
      </c>
      <c r="B77" s="112" t="s">
        <v>43</v>
      </c>
      <c r="C77" s="112" t="s">
        <v>877</v>
      </c>
      <c r="D77" s="112" t="s">
        <v>866</v>
      </c>
      <c r="E77" s="112">
        <v>255</v>
      </c>
      <c r="F77" s="112" t="s">
        <v>27</v>
      </c>
      <c r="G77" s="112" t="b">
        <v>0</v>
      </c>
      <c r="H77" s="112" t="b">
        <v>0</v>
      </c>
      <c r="I77" s="112" t="b">
        <v>0</v>
      </c>
    </row>
    <row r="78" spans="1:9" x14ac:dyDescent="0.2">
      <c r="A78" s="112" t="s">
        <v>1009</v>
      </c>
      <c r="B78" s="112" t="s">
        <v>954</v>
      </c>
      <c r="C78" s="112" t="s">
        <v>1205</v>
      </c>
      <c r="D78" s="112" t="s">
        <v>866</v>
      </c>
      <c r="E78" s="112">
        <v>255</v>
      </c>
      <c r="F78" s="112" t="s">
        <v>27</v>
      </c>
      <c r="G78" s="112" t="b">
        <v>0</v>
      </c>
      <c r="H78" s="112" t="b">
        <v>0</v>
      </c>
      <c r="I78" s="112" t="b">
        <v>0</v>
      </c>
    </row>
    <row r="79" spans="1:9" x14ac:dyDescent="0.2">
      <c r="A79" s="112" t="s">
        <v>1009</v>
      </c>
      <c r="B79" s="112" t="s">
        <v>21</v>
      </c>
      <c r="C79" s="112" t="s">
        <v>1206</v>
      </c>
      <c r="D79" s="112" t="s">
        <v>866</v>
      </c>
      <c r="E79" s="112">
        <v>255</v>
      </c>
      <c r="F79" s="112" t="s">
        <v>27</v>
      </c>
      <c r="G79" s="112" t="b">
        <v>0</v>
      </c>
      <c r="H79" s="112" t="b">
        <v>0</v>
      </c>
      <c r="I79" s="112" t="b">
        <v>0</v>
      </c>
    </row>
    <row r="80" spans="1:9" x14ac:dyDescent="0.2">
      <c r="A80" s="112" t="s">
        <v>1009</v>
      </c>
      <c r="B80" s="112" t="s">
        <v>1387</v>
      </c>
      <c r="C80" s="112" t="s">
        <v>1403</v>
      </c>
      <c r="D80" s="112" t="s">
        <v>865</v>
      </c>
      <c r="E80" s="112">
        <v>11</v>
      </c>
      <c r="F80" s="112" t="s">
        <v>27</v>
      </c>
      <c r="G80" s="112" t="b">
        <v>0</v>
      </c>
      <c r="H80" s="112" t="b">
        <v>0</v>
      </c>
      <c r="I80" s="112" t="b">
        <v>0</v>
      </c>
    </row>
    <row r="81" spans="1:9" x14ac:dyDescent="0.2">
      <c r="A81" s="63" t="s">
        <v>1010</v>
      </c>
      <c r="B81" s="63" t="s">
        <v>1</v>
      </c>
      <c r="C81" s="63" t="s">
        <v>975</v>
      </c>
      <c r="D81" s="63" t="s">
        <v>865</v>
      </c>
      <c r="E81" s="63">
        <v>11</v>
      </c>
      <c r="F81" s="63"/>
      <c r="G81" s="63" t="b">
        <v>1</v>
      </c>
      <c r="H81" s="63" t="b">
        <v>1</v>
      </c>
      <c r="I81" s="63" t="b">
        <v>0</v>
      </c>
    </row>
    <row r="82" spans="1:9" x14ac:dyDescent="0.2">
      <c r="A82" s="63" t="s">
        <v>1010</v>
      </c>
      <c r="B82" s="63" t="s">
        <v>962</v>
      </c>
      <c r="C82" s="63" t="s">
        <v>976</v>
      </c>
      <c r="D82" s="63" t="s">
        <v>865</v>
      </c>
      <c r="E82" s="63">
        <v>11</v>
      </c>
      <c r="F82" s="63"/>
      <c r="G82" s="63" t="b">
        <v>1</v>
      </c>
      <c r="H82" s="63" t="b">
        <v>0</v>
      </c>
      <c r="I82" s="63" t="b">
        <v>0</v>
      </c>
    </row>
    <row r="83" spans="1:9" x14ac:dyDescent="0.2">
      <c r="A83" s="63" t="s">
        <v>1010</v>
      </c>
      <c r="B83" s="63" t="s">
        <v>931</v>
      </c>
      <c r="C83" s="63" t="s">
        <v>977</v>
      </c>
      <c r="D83" s="63" t="s">
        <v>869</v>
      </c>
      <c r="E83" s="63"/>
      <c r="F83" s="63"/>
      <c r="G83" s="63" t="b">
        <v>1</v>
      </c>
      <c r="H83" s="63" t="b">
        <v>0</v>
      </c>
      <c r="I83" s="63" t="b">
        <v>0</v>
      </c>
    </row>
    <row r="84" spans="1:9" x14ac:dyDescent="0.2">
      <c r="A84" s="63" t="s">
        <v>1010</v>
      </c>
      <c r="B84" s="63" t="s">
        <v>946</v>
      </c>
      <c r="C84" s="63" t="s">
        <v>978</v>
      </c>
      <c r="D84" s="63" t="s">
        <v>873</v>
      </c>
      <c r="E84" s="63" t="s">
        <v>871</v>
      </c>
      <c r="F84" s="63">
        <v>0</v>
      </c>
      <c r="G84" s="63" t="b">
        <v>1</v>
      </c>
      <c r="H84" s="63" t="b">
        <v>0</v>
      </c>
      <c r="I84" s="63" t="b">
        <v>0</v>
      </c>
    </row>
    <row r="85" spans="1:9" x14ac:dyDescent="0.2">
      <c r="A85" s="63" t="s">
        <v>1010</v>
      </c>
      <c r="B85" s="63" t="s">
        <v>1099</v>
      </c>
      <c r="C85" s="63" t="s">
        <v>979</v>
      </c>
      <c r="D85" s="63" t="s">
        <v>866</v>
      </c>
      <c r="E85" s="63">
        <v>255</v>
      </c>
      <c r="F85" s="63"/>
      <c r="G85" s="63" t="b">
        <v>1</v>
      </c>
      <c r="H85" s="63" t="b">
        <v>0</v>
      </c>
      <c r="I85" s="63" t="b">
        <v>0</v>
      </c>
    </row>
    <row r="86" spans="1:9" x14ac:dyDescent="0.2">
      <c r="A86" s="63" t="s">
        <v>1010</v>
      </c>
      <c r="B86" s="63" t="s">
        <v>958</v>
      </c>
      <c r="C86" s="63" t="s">
        <v>980</v>
      </c>
      <c r="D86" s="63" t="s">
        <v>866</v>
      </c>
      <c r="E86" s="63">
        <v>255</v>
      </c>
      <c r="F86" s="63" t="s">
        <v>27</v>
      </c>
      <c r="G86" s="63" t="b">
        <v>0</v>
      </c>
      <c r="H86" s="63" t="b">
        <v>0</v>
      </c>
      <c r="I86" s="63" t="b">
        <v>0</v>
      </c>
    </row>
    <row r="87" spans="1:9" x14ac:dyDescent="0.2">
      <c r="A87" s="63" t="s">
        <v>1010</v>
      </c>
      <c r="B87" s="63" t="s">
        <v>162</v>
      </c>
      <c r="C87" s="63" t="s">
        <v>981</v>
      </c>
      <c r="D87" s="63" t="s">
        <v>868</v>
      </c>
      <c r="E87" s="63"/>
      <c r="F87" s="63" t="s">
        <v>27</v>
      </c>
      <c r="G87" s="63" t="b">
        <v>0</v>
      </c>
      <c r="H87" s="63" t="b">
        <v>0</v>
      </c>
      <c r="I87" s="63" t="b">
        <v>0</v>
      </c>
    </row>
    <row r="88" spans="1:9" x14ac:dyDescent="0.2">
      <c r="A88" s="112" t="s">
        <v>1011</v>
      </c>
      <c r="B88" s="112" t="s">
        <v>1</v>
      </c>
      <c r="C88" s="112" t="s">
        <v>1207</v>
      </c>
      <c r="D88" s="112" t="s">
        <v>865</v>
      </c>
      <c r="E88" s="112">
        <v>11</v>
      </c>
      <c r="G88" s="112" t="b">
        <v>1</v>
      </c>
      <c r="H88" s="112" t="b">
        <v>1</v>
      </c>
      <c r="I88" s="112" t="b">
        <v>0</v>
      </c>
    </row>
    <row r="89" spans="1:9" x14ac:dyDescent="0.2">
      <c r="A89" s="112" t="s">
        <v>1011</v>
      </c>
      <c r="B89" s="112" t="s">
        <v>788</v>
      </c>
      <c r="C89" s="112" t="s">
        <v>1208</v>
      </c>
      <c r="D89" s="112" t="s">
        <v>866</v>
      </c>
      <c r="E89" s="112">
        <v>255</v>
      </c>
      <c r="G89" s="112" t="b">
        <v>1</v>
      </c>
      <c r="H89" s="112" t="b">
        <v>0</v>
      </c>
      <c r="I89" s="112" t="b">
        <v>0</v>
      </c>
    </row>
    <row r="90" spans="1:9" x14ac:dyDescent="0.2">
      <c r="A90" s="112" t="s">
        <v>1011</v>
      </c>
      <c r="B90" s="112" t="s">
        <v>973</v>
      </c>
      <c r="C90" s="112" t="s">
        <v>1209</v>
      </c>
      <c r="D90" s="112" t="s">
        <v>866</v>
      </c>
      <c r="E90" s="112">
        <v>255</v>
      </c>
      <c r="F90" s="112" t="s">
        <v>27</v>
      </c>
      <c r="G90" s="112" t="b">
        <v>0</v>
      </c>
      <c r="H90" s="112" t="b">
        <v>0</v>
      </c>
      <c r="I90" s="112" t="b">
        <v>0</v>
      </c>
    </row>
    <row r="91" spans="1:9" x14ac:dyDescent="0.2">
      <c r="A91" s="112" t="s">
        <v>1011</v>
      </c>
      <c r="B91" s="112" t="s">
        <v>982</v>
      </c>
      <c r="C91" s="112" t="s">
        <v>1210</v>
      </c>
      <c r="D91" s="112" t="s">
        <v>865</v>
      </c>
      <c r="G91" s="112" t="b">
        <v>1</v>
      </c>
      <c r="H91" s="112" t="b">
        <v>0</v>
      </c>
      <c r="I91" s="112" t="b">
        <v>0</v>
      </c>
    </row>
    <row r="92" spans="1:9" x14ac:dyDescent="0.2">
      <c r="A92" s="112" t="s">
        <v>1011</v>
      </c>
      <c r="B92" s="112" t="s">
        <v>983</v>
      </c>
      <c r="C92" s="112" t="s">
        <v>1211</v>
      </c>
      <c r="D92" s="112" t="s">
        <v>865</v>
      </c>
      <c r="G92" s="112" t="b">
        <v>1</v>
      </c>
      <c r="H92" s="112" t="b">
        <v>0</v>
      </c>
      <c r="I92" s="112" t="b">
        <v>0</v>
      </c>
    </row>
    <row r="93" spans="1:9" x14ac:dyDescent="0.2">
      <c r="A93" s="112" t="s">
        <v>1011</v>
      </c>
      <c r="B93" s="112" t="s">
        <v>984</v>
      </c>
      <c r="C93" s="112" t="s">
        <v>1212</v>
      </c>
      <c r="D93" s="112" t="s">
        <v>865</v>
      </c>
      <c r="G93" s="112" t="b">
        <v>1</v>
      </c>
      <c r="H93" s="112" t="b">
        <v>0</v>
      </c>
      <c r="I93" s="112" t="b">
        <v>0</v>
      </c>
    </row>
    <row r="94" spans="1:9" x14ac:dyDescent="0.2">
      <c r="A94" s="112" t="s">
        <v>1011</v>
      </c>
      <c r="B94" s="112" t="s">
        <v>985</v>
      </c>
      <c r="C94" s="112" t="s">
        <v>1213</v>
      </c>
      <c r="D94" s="112" t="s">
        <v>865</v>
      </c>
      <c r="G94" s="112" t="b">
        <v>1</v>
      </c>
      <c r="H94" s="112" t="b">
        <v>0</v>
      </c>
      <c r="I94" s="112" t="b">
        <v>0</v>
      </c>
    </row>
    <row r="95" spans="1:9" x14ac:dyDescent="0.2">
      <c r="A95" s="112" t="s">
        <v>1011</v>
      </c>
      <c r="B95" s="112" t="s">
        <v>986</v>
      </c>
      <c r="C95" s="112" t="s">
        <v>1214</v>
      </c>
      <c r="D95" s="112" t="s">
        <v>865</v>
      </c>
      <c r="G95" s="112" t="b">
        <v>1</v>
      </c>
      <c r="H95" s="112" t="b">
        <v>0</v>
      </c>
      <c r="I95" s="112" t="b">
        <v>0</v>
      </c>
    </row>
    <row r="96" spans="1:9" x14ac:dyDescent="0.2">
      <c r="A96" s="112" t="s">
        <v>1011</v>
      </c>
      <c r="B96" s="112" t="s">
        <v>987</v>
      </c>
      <c r="C96" s="112" t="s">
        <v>1215</v>
      </c>
      <c r="D96" s="112" t="s">
        <v>865</v>
      </c>
      <c r="G96" s="112" t="b">
        <v>1</v>
      </c>
      <c r="H96" s="112" t="b">
        <v>0</v>
      </c>
      <c r="I96" s="112" t="b">
        <v>0</v>
      </c>
    </row>
    <row r="97" spans="1:9" x14ac:dyDescent="0.2">
      <c r="A97" s="63" t="s">
        <v>1031</v>
      </c>
      <c r="B97" s="63" t="s">
        <v>1</v>
      </c>
      <c r="C97" s="63" t="s">
        <v>1216</v>
      </c>
      <c r="D97" s="63" t="s">
        <v>865</v>
      </c>
      <c r="E97" s="63">
        <v>11</v>
      </c>
      <c r="F97" s="63"/>
      <c r="G97" s="63" t="b">
        <v>1</v>
      </c>
      <c r="H97" s="63" t="b">
        <v>1</v>
      </c>
      <c r="I97" s="63" t="b">
        <v>0</v>
      </c>
    </row>
    <row r="98" spans="1:9" x14ac:dyDescent="0.2">
      <c r="A98" s="63" t="s">
        <v>1031</v>
      </c>
      <c r="B98" s="63" t="s">
        <v>788</v>
      </c>
      <c r="C98" s="63" t="s">
        <v>1217</v>
      </c>
      <c r="D98" s="63" t="s">
        <v>866</v>
      </c>
      <c r="E98" s="63">
        <v>255</v>
      </c>
      <c r="F98" s="63"/>
      <c r="G98" s="63" t="b">
        <v>1</v>
      </c>
      <c r="H98" s="63" t="b">
        <v>0</v>
      </c>
      <c r="I98" s="63" t="b">
        <v>0</v>
      </c>
    </row>
    <row r="99" spans="1:9" x14ac:dyDescent="0.2">
      <c r="A99" s="63" t="s">
        <v>1031</v>
      </c>
      <c r="B99" s="63" t="s">
        <v>1032</v>
      </c>
      <c r="C99" s="63" t="s">
        <v>1218</v>
      </c>
      <c r="D99" s="63" t="s">
        <v>866</v>
      </c>
      <c r="E99" s="63">
        <v>255</v>
      </c>
      <c r="F99" s="63"/>
      <c r="G99" s="63" t="b">
        <v>1</v>
      </c>
      <c r="H99" s="63" t="b">
        <v>0</v>
      </c>
      <c r="I99" s="63" t="b">
        <v>0</v>
      </c>
    </row>
    <row r="100" spans="1:9" x14ac:dyDescent="0.2">
      <c r="A100" s="63" t="s">
        <v>1031</v>
      </c>
      <c r="B100" s="63" t="s">
        <v>870</v>
      </c>
      <c r="C100" s="63" t="s">
        <v>1219</v>
      </c>
      <c r="D100" s="63" t="s">
        <v>869</v>
      </c>
      <c r="E100" s="63"/>
      <c r="F100" s="63" t="s">
        <v>27</v>
      </c>
      <c r="G100" s="63" t="b">
        <v>0</v>
      </c>
      <c r="H100" s="63" t="b">
        <v>0</v>
      </c>
      <c r="I100" s="63" t="b">
        <v>0</v>
      </c>
    </row>
    <row r="101" spans="1:9" x14ac:dyDescent="0.2">
      <c r="A101" s="112" t="s">
        <v>60</v>
      </c>
      <c r="B101" s="112" t="s">
        <v>1</v>
      </c>
      <c r="C101" s="112" t="s">
        <v>1220</v>
      </c>
      <c r="D101" s="112" t="s">
        <v>865</v>
      </c>
      <c r="E101" s="112">
        <v>11</v>
      </c>
      <c r="G101" s="112" t="b">
        <v>1</v>
      </c>
      <c r="H101" s="112" t="b">
        <v>1</v>
      </c>
      <c r="I101" s="112" t="b">
        <v>0</v>
      </c>
    </row>
    <row r="102" spans="1:9" x14ac:dyDescent="0.2">
      <c r="A102" s="112" t="s">
        <v>60</v>
      </c>
      <c r="B102" s="112" t="s">
        <v>1108</v>
      </c>
      <c r="C102" s="112" t="s">
        <v>1221</v>
      </c>
      <c r="D102" s="112" t="s">
        <v>865</v>
      </c>
      <c r="E102" s="112">
        <v>11</v>
      </c>
      <c r="G102" s="112" t="b">
        <v>1</v>
      </c>
      <c r="H102" s="112" t="b">
        <v>0</v>
      </c>
      <c r="I102" s="112" t="b">
        <v>0</v>
      </c>
    </row>
    <row r="103" spans="1:9" x14ac:dyDescent="0.2">
      <c r="A103" s="112" t="s">
        <v>60</v>
      </c>
      <c r="B103" s="112" t="s">
        <v>788</v>
      </c>
      <c r="C103" s="112" t="s">
        <v>1222</v>
      </c>
      <c r="D103" s="112" t="s">
        <v>866</v>
      </c>
      <c r="E103" s="112">
        <v>255</v>
      </c>
      <c r="G103" s="112" t="b">
        <v>1</v>
      </c>
      <c r="H103" s="112" t="b">
        <v>0</v>
      </c>
      <c r="I103" s="112" t="b">
        <v>0</v>
      </c>
    </row>
    <row r="104" spans="1:9" x14ac:dyDescent="0.2">
      <c r="A104" s="112" t="s">
        <v>60</v>
      </c>
      <c r="B104" s="112" t="s">
        <v>1019</v>
      </c>
      <c r="C104" s="112" t="s">
        <v>1223</v>
      </c>
      <c r="D104" s="112" t="s">
        <v>866</v>
      </c>
      <c r="E104" s="112">
        <v>255</v>
      </c>
      <c r="G104" s="112" t="b">
        <v>1</v>
      </c>
      <c r="H104" s="112" t="b">
        <v>0</v>
      </c>
      <c r="I104" s="112" t="b">
        <v>0</v>
      </c>
    </row>
    <row r="105" spans="1:9" x14ac:dyDescent="0.2">
      <c r="A105" s="112" t="s">
        <v>60</v>
      </c>
      <c r="B105" s="112" t="s">
        <v>964</v>
      </c>
      <c r="C105" s="112" t="s">
        <v>1224</v>
      </c>
      <c r="D105" s="112" t="s">
        <v>866</v>
      </c>
      <c r="E105" s="112">
        <v>255</v>
      </c>
      <c r="F105" s="112" t="s">
        <v>27</v>
      </c>
      <c r="G105" s="112" t="b">
        <v>0</v>
      </c>
      <c r="H105" s="112" t="b">
        <v>0</v>
      </c>
      <c r="I105" s="112" t="b">
        <v>0</v>
      </c>
    </row>
    <row r="106" spans="1:9" x14ac:dyDescent="0.2">
      <c r="A106" s="112" t="s">
        <v>60</v>
      </c>
      <c r="B106" s="112" t="s">
        <v>973</v>
      </c>
      <c r="C106" s="112" t="s">
        <v>1225</v>
      </c>
      <c r="D106" s="112" t="s">
        <v>866</v>
      </c>
      <c r="E106" s="112">
        <v>255</v>
      </c>
      <c r="F106" s="112" t="s">
        <v>27</v>
      </c>
      <c r="G106" s="112" t="b">
        <v>0</v>
      </c>
      <c r="H106" s="112" t="b">
        <v>0</v>
      </c>
      <c r="I106" s="112" t="b">
        <v>0</v>
      </c>
    </row>
    <row r="107" spans="1:9" x14ac:dyDescent="0.2">
      <c r="A107" s="63" t="s">
        <v>1035</v>
      </c>
      <c r="B107" s="63" t="s">
        <v>1</v>
      </c>
      <c r="C107" s="63" t="s">
        <v>1226</v>
      </c>
      <c r="D107" s="63" t="s">
        <v>865</v>
      </c>
      <c r="E107" s="63">
        <v>11</v>
      </c>
      <c r="F107" s="63"/>
      <c r="G107" s="63" t="b">
        <v>1</v>
      </c>
      <c r="H107" s="63" t="b">
        <v>1</v>
      </c>
      <c r="I107" s="63" t="b">
        <v>0</v>
      </c>
    </row>
    <row r="108" spans="1:9" x14ac:dyDescent="0.2">
      <c r="A108" s="63" t="s">
        <v>1035</v>
      </c>
      <c r="B108" s="63" t="s">
        <v>788</v>
      </c>
      <c r="C108" s="63" t="s">
        <v>1227</v>
      </c>
      <c r="D108" s="63" t="s">
        <v>866</v>
      </c>
      <c r="E108" s="63">
        <v>255</v>
      </c>
      <c r="F108" s="63"/>
      <c r="G108" s="63" t="b">
        <v>1</v>
      </c>
      <c r="H108" s="63" t="b">
        <v>0</v>
      </c>
      <c r="I108" s="63" t="b">
        <v>0</v>
      </c>
    </row>
    <row r="109" spans="1:9" x14ac:dyDescent="0.2">
      <c r="A109" s="63" t="s">
        <v>1035</v>
      </c>
      <c r="B109" s="63" t="s">
        <v>1032</v>
      </c>
      <c r="C109" s="63" t="s">
        <v>1228</v>
      </c>
      <c r="D109" s="63" t="s">
        <v>866</v>
      </c>
      <c r="E109" s="63">
        <v>255</v>
      </c>
      <c r="F109" s="63" t="s">
        <v>27</v>
      </c>
      <c r="G109" s="63" t="b">
        <v>0</v>
      </c>
      <c r="H109" s="63" t="b">
        <v>0</v>
      </c>
      <c r="I109" s="63" t="b">
        <v>0</v>
      </c>
    </row>
    <row r="110" spans="1:9" x14ac:dyDescent="0.2">
      <c r="A110" s="63" t="s">
        <v>1035</v>
      </c>
      <c r="B110" s="63" t="s">
        <v>870</v>
      </c>
      <c r="C110" s="63" t="s">
        <v>1229</v>
      </c>
      <c r="D110" s="63" t="s">
        <v>869</v>
      </c>
      <c r="E110" s="63"/>
      <c r="F110" s="63" t="s">
        <v>27</v>
      </c>
      <c r="G110" s="63" t="b">
        <v>0</v>
      </c>
      <c r="H110" s="63" t="b">
        <v>0</v>
      </c>
      <c r="I110" s="63" t="b">
        <v>0</v>
      </c>
    </row>
    <row r="111" spans="1:9" x14ac:dyDescent="0.2">
      <c r="A111" s="112" t="s">
        <v>95</v>
      </c>
      <c r="B111" s="112" t="s">
        <v>1</v>
      </c>
      <c r="C111" s="112" t="s">
        <v>1230</v>
      </c>
      <c r="D111" s="112" t="s">
        <v>865</v>
      </c>
      <c r="E111" s="112">
        <v>11</v>
      </c>
      <c r="G111" s="112" t="b">
        <v>1</v>
      </c>
      <c r="H111" s="112" t="b">
        <v>1</v>
      </c>
      <c r="I111" s="112" t="b">
        <v>0</v>
      </c>
    </row>
    <row r="112" spans="1:9" x14ac:dyDescent="0.2">
      <c r="A112" s="112" t="s">
        <v>95</v>
      </c>
      <c r="B112" s="112" t="s">
        <v>788</v>
      </c>
      <c r="C112" s="112" t="s">
        <v>1231</v>
      </c>
      <c r="D112" s="112" t="s">
        <v>866</v>
      </c>
      <c r="E112" s="112">
        <v>255</v>
      </c>
      <c r="G112" s="112" t="b">
        <v>1</v>
      </c>
      <c r="H112" s="112" t="b">
        <v>0</v>
      </c>
      <c r="I112" s="112" t="b">
        <v>0</v>
      </c>
    </row>
    <row r="113" spans="1:9" x14ac:dyDescent="0.2">
      <c r="A113" s="112" t="s">
        <v>95</v>
      </c>
      <c r="B113" s="112" t="s">
        <v>867</v>
      </c>
      <c r="C113" s="112" t="s">
        <v>1232</v>
      </c>
      <c r="D113" s="112" t="s">
        <v>866</v>
      </c>
      <c r="E113" s="112">
        <v>20</v>
      </c>
      <c r="G113" s="112" t="b">
        <v>1</v>
      </c>
      <c r="H113" s="112" t="b">
        <v>0</v>
      </c>
      <c r="I113" s="112" t="b">
        <v>0</v>
      </c>
    </row>
    <row r="114" spans="1:9" x14ac:dyDescent="0.2">
      <c r="A114" s="63" t="s">
        <v>1121</v>
      </c>
      <c r="B114" s="63" t="s">
        <v>1</v>
      </c>
      <c r="C114" s="63" t="s">
        <v>1233</v>
      </c>
      <c r="D114" s="63" t="s">
        <v>865</v>
      </c>
      <c r="E114" s="63">
        <v>11</v>
      </c>
      <c r="F114" s="63"/>
      <c r="G114" s="63" t="b">
        <v>1</v>
      </c>
      <c r="H114" s="63" t="b">
        <v>1</v>
      </c>
      <c r="I114" s="63" t="b">
        <v>0</v>
      </c>
    </row>
    <row r="115" spans="1:9" x14ac:dyDescent="0.2">
      <c r="A115" s="63" t="s">
        <v>1121</v>
      </c>
      <c r="B115" s="63" t="s">
        <v>788</v>
      </c>
      <c r="C115" s="63" t="s">
        <v>1234</v>
      </c>
      <c r="D115" s="63" t="s">
        <v>866</v>
      </c>
      <c r="E115" s="63">
        <v>255</v>
      </c>
      <c r="F115" s="63"/>
      <c r="G115" s="63" t="b">
        <v>1</v>
      </c>
      <c r="H115" s="63" t="b">
        <v>0</v>
      </c>
      <c r="I115" s="63" t="b">
        <v>0</v>
      </c>
    </row>
    <row r="116" spans="1:9" x14ac:dyDescent="0.2">
      <c r="A116" s="63" t="s">
        <v>1121</v>
      </c>
      <c r="B116" s="63" t="s">
        <v>867</v>
      </c>
      <c r="C116" s="63" t="s">
        <v>1235</v>
      </c>
      <c r="D116" s="63" t="s">
        <v>866</v>
      </c>
      <c r="E116" s="63">
        <v>20</v>
      </c>
      <c r="F116" s="63"/>
      <c r="G116" s="63" t="b">
        <v>1</v>
      </c>
      <c r="H116" s="63" t="b">
        <v>0</v>
      </c>
      <c r="I116" s="63" t="b">
        <v>0</v>
      </c>
    </row>
    <row r="117" spans="1:9" x14ac:dyDescent="0.2">
      <c r="A117" s="112" t="s">
        <v>1127</v>
      </c>
      <c r="B117" s="112" t="s">
        <v>1</v>
      </c>
      <c r="C117" s="112" t="s">
        <v>1236</v>
      </c>
      <c r="D117" s="112" t="s">
        <v>865</v>
      </c>
      <c r="E117" s="112">
        <v>11</v>
      </c>
      <c r="G117" s="112" t="b">
        <v>1</v>
      </c>
      <c r="H117" s="112" t="b">
        <v>1</v>
      </c>
      <c r="I117" s="112" t="b">
        <v>0</v>
      </c>
    </row>
    <row r="118" spans="1:9" x14ac:dyDescent="0.2">
      <c r="A118" s="112" t="s">
        <v>1127</v>
      </c>
      <c r="B118" s="112" t="s">
        <v>1128</v>
      </c>
      <c r="C118" s="112" t="s">
        <v>1237</v>
      </c>
      <c r="D118" s="112" t="s">
        <v>866</v>
      </c>
      <c r="E118" s="112">
        <v>255</v>
      </c>
      <c r="G118" s="112" t="b">
        <v>1</v>
      </c>
      <c r="H118" s="112" t="b">
        <v>0</v>
      </c>
      <c r="I118" s="112" t="b">
        <v>0</v>
      </c>
    </row>
    <row r="119" spans="1:9" x14ac:dyDescent="0.2">
      <c r="A119" s="112" t="s">
        <v>1127</v>
      </c>
      <c r="B119" s="112" t="s">
        <v>1129</v>
      </c>
      <c r="C119" s="112" t="s">
        <v>1238</v>
      </c>
      <c r="D119" s="112" t="s">
        <v>869</v>
      </c>
      <c r="F119" s="112" t="s">
        <v>27</v>
      </c>
      <c r="G119" s="112" t="b">
        <v>0</v>
      </c>
      <c r="H119" s="112" t="b">
        <v>0</v>
      </c>
      <c r="I119" s="112" t="b">
        <v>0</v>
      </c>
    </row>
    <row r="120" spans="1:9" x14ac:dyDescent="0.2">
      <c r="A120" s="112" t="s">
        <v>1127</v>
      </c>
      <c r="B120" s="112" t="s">
        <v>1130</v>
      </c>
      <c r="C120" s="112" t="s">
        <v>1239</v>
      </c>
      <c r="D120" s="112" t="s">
        <v>869</v>
      </c>
      <c r="F120" s="112" t="s">
        <v>27</v>
      </c>
      <c r="G120" s="112" t="b">
        <v>0</v>
      </c>
      <c r="H120" s="112" t="b">
        <v>0</v>
      </c>
      <c r="I120" s="112" t="b">
        <v>0</v>
      </c>
    </row>
    <row r="121" spans="1:9" x14ac:dyDescent="0.2">
      <c r="A121" s="112" t="s">
        <v>1127</v>
      </c>
      <c r="B121" s="112" t="s">
        <v>3</v>
      </c>
      <c r="C121" s="112" t="s">
        <v>1240</v>
      </c>
      <c r="D121" s="112" t="s">
        <v>868</v>
      </c>
      <c r="F121" s="112" t="s">
        <v>27</v>
      </c>
      <c r="G121" s="112" t="b">
        <v>0</v>
      </c>
      <c r="H121" s="112" t="b">
        <v>0</v>
      </c>
      <c r="I121" s="112" t="b">
        <v>0</v>
      </c>
    </row>
    <row r="122" spans="1:9" x14ac:dyDescent="0.2">
      <c r="A122" s="63" t="s">
        <v>1014</v>
      </c>
      <c r="B122" s="63" t="s">
        <v>1</v>
      </c>
      <c r="C122" s="63" t="s">
        <v>1241</v>
      </c>
      <c r="D122" s="63" t="s">
        <v>865</v>
      </c>
      <c r="E122" s="63">
        <v>11</v>
      </c>
      <c r="F122" s="63"/>
      <c r="G122" s="63" t="b">
        <v>1</v>
      </c>
      <c r="H122" s="63" t="b">
        <v>1</v>
      </c>
      <c r="I122" s="63" t="b">
        <v>0</v>
      </c>
    </row>
    <row r="123" spans="1:9" x14ac:dyDescent="0.2">
      <c r="A123" s="63" t="s">
        <v>1014</v>
      </c>
      <c r="B123" s="63" t="s">
        <v>1117</v>
      </c>
      <c r="C123" s="63" t="s">
        <v>1242</v>
      </c>
      <c r="D123" s="63" t="s">
        <v>866</v>
      </c>
      <c r="E123" s="63">
        <v>255</v>
      </c>
      <c r="F123" s="63"/>
      <c r="G123" s="63" t="b">
        <v>1</v>
      </c>
      <c r="H123" s="63" t="b">
        <v>0</v>
      </c>
      <c r="I123" s="63" t="b">
        <v>0</v>
      </c>
    </row>
    <row r="124" spans="1:9" x14ac:dyDescent="0.2">
      <c r="A124" s="63" t="s">
        <v>1014</v>
      </c>
      <c r="B124" s="63" t="s">
        <v>870</v>
      </c>
      <c r="C124" s="63" t="s">
        <v>1243</v>
      </c>
      <c r="D124" s="63" t="s">
        <v>869</v>
      </c>
      <c r="E124" s="63"/>
      <c r="F124" s="63"/>
      <c r="G124" s="63" t="b">
        <v>1</v>
      </c>
      <c r="H124" s="63" t="b">
        <v>0</v>
      </c>
      <c r="I124" s="63" t="b">
        <v>0</v>
      </c>
    </row>
    <row r="125" spans="1:9" x14ac:dyDescent="0.2">
      <c r="A125" s="63" t="s">
        <v>1014</v>
      </c>
      <c r="B125" s="63" t="s">
        <v>965</v>
      </c>
      <c r="C125" s="63" t="s">
        <v>1244</v>
      </c>
      <c r="D125" s="63" t="s">
        <v>865</v>
      </c>
      <c r="E125" s="63">
        <v>11</v>
      </c>
      <c r="F125" s="63"/>
      <c r="G125" s="63" t="b">
        <v>1</v>
      </c>
      <c r="H125" s="63" t="b">
        <v>0</v>
      </c>
      <c r="I125" s="63" t="b">
        <v>0</v>
      </c>
    </row>
    <row r="126" spans="1:9" x14ac:dyDescent="0.2">
      <c r="A126" s="63" t="s">
        <v>1014</v>
      </c>
      <c r="B126" s="63" t="s">
        <v>966</v>
      </c>
      <c r="C126" s="63" t="s">
        <v>1245</v>
      </c>
      <c r="D126" s="63" t="s">
        <v>865</v>
      </c>
      <c r="E126" s="63">
        <v>11</v>
      </c>
      <c r="F126" s="63" t="s">
        <v>27</v>
      </c>
      <c r="G126" s="63" t="b">
        <v>0</v>
      </c>
      <c r="H126" s="63" t="b">
        <v>0</v>
      </c>
      <c r="I126" s="63" t="b">
        <v>0</v>
      </c>
    </row>
    <row r="127" spans="1:9" x14ac:dyDescent="0.2">
      <c r="A127" s="63" t="s">
        <v>1014</v>
      </c>
      <c r="B127" s="63" t="s">
        <v>946</v>
      </c>
      <c r="C127" s="63" t="s">
        <v>1246</v>
      </c>
      <c r="D127" s="63" t="s">
        <v>873</v>
      </c>
      <c r="E127" s="63" t="s">
        <v>871</v>
      </c>
      <c r="F127" s="63">
        <v>0</v>
      </c>
      <c r="G127" s="63" t="b">
        <v>1</v>
      </c>
      <c r="H127" s="63" t="b">
        <v>0</v>
      </c>
      <c r="I127" s="63" t="b">
        <v>0</v>
      </c>
    </row>
    <row r="128" spans="1:9" x14ac:dyDescent="0.2">
      <c r="A128" s="63" t="s">
        <v>1014</v>
      </c>
      <c r="B128" s="63" t="s">
        <v>967</v>
      </c>
      <c r="C128" s="63" t="s">
        <v>1247</v>
      </c>
      <c r="D128" s="63" t="s">
        <v>866</v>
      </c>
      <c r="E128" s="63">
        <v>255</v>
      </c>
      <c r="F128" s="63" t="s">
        <v>27</v>
      </c>
      <c r="G128" s="63" t="b">
        <v>0</v>
      </c>
      <c r="H128" s="63" t="b">
        <v>0</v>
      </c>
      <c r="I128" s="63" t="b">
        <v>0</v>
      </c>
    </row>
    <row r="129" spans="1:9" x14ac:dyDescent="0.2">
      <c r="A129" s="63" t="s">
        <v>1014</v>
      </c>
      <c r="B129" s="63" t="s">
        <v>1120</v>
      </c>
      <c r="C129" s="63" t="s">
        <v>1248</v>
      </c>
      <c r="D129" s="63" t="s">
        <v>866</v>
      </c>
      <c r="E129" s="63">
        <v>255</v>
      </c>
      <c r="F129" s="63"/>
      <c r="G129" s="63" t="b">
        <v>1</v>
      </c>
      <c r="H129" s="63" t="b">
        <v>0</v>
      </c>
      <c r="I129" s="63" t="b">
        <v>0</v>
      </c>
    </row>
    <row r="130" spans="1:9" x14ac:dyDescent="0.2">
      <c r="A130" s="63" t="s">
        <v>1014</v>
      </c>
      <c r="B130" s="63" t="s">
        <v>1119</v>
      </c>
      <c r="C130" s="63" t="s">
        <v>1249</v>
      </c>
      <c r="D130" s="63" t="s">
        <v>865</v>
      </c>
      <c r="E130" s="63">
        <v>11</v>
      </c>
      <c r="F130" s="63" t="s">
        <v>27</v>
      </c>
      <c r="G130" s="63" t="b">
        <v>0</v>
      </c>
      <c r="H130" s="63" t="b">
        <v>0</v>
      </c>
      <c r="I130" s="63" t="b">
        <v>0</v>
      </c>
    </row>
    <row r="131" spans="1:9" x14ac:dyDescent="0.2">
      <c r="A131" s="63" t="s">
        <v>1014</v>
      </c>
      <c r="B131" s="63" t="s">
        <v>3</v>
      </c>
      <c r="C131" s="63" t="s">
        <v>1250</v>
      </c>
      <c r="D131" s="63" t="s">
        <v>868</v>
      </c>
      <c r="E131" s="63"/>
      <c r="F131" s="63" t="s">
        <v>27</v>
      </c>
      <c r="G131" s="63" t="b">
        <v>0</v>
      </c>
      <c r="H131" s="63" t="b">
        <v>0</v>
      </c>
      <c r="I131" s="63" t="b">
        <v>0</v>
      </c>
    </row>
    <row r="132" spans="1:9" x14ac:dyDescent="0.2">
      <c r="A132" s="63" t="s">
        <v>1014</v>
      </c>
      <c r="B132" s="63" t="s">
        <v>162</v>
      </c>
      <c r="C132" s="63" t="s">
        <v>1251</v>
      </c>
      <c r="D132" s="63" t="s">
        <v>868</v>
      </c>
      <c r="E132" s="63"/>
      <c r="F132" s="63" t="s">
        <v>27</v>
      </c>
      <c r="G132" s="63" t="b">
        <v>0</v>
      </c>
      <c r="H132" s="63" t="b">
        <v>0</v>
      </c>
      <c r="I132" s="63" t="b">
        <v>0</v>
      </c>
    </row>
    <row r="133" spans="1:9" x14ac:dyDescent="0.2">
      <c r="A133" s="112" t="s">
        <v>1259</v>
      </c>
      <c r="B133" s="112" t="s">
        <v>1</v>
      </c>
      <c r="C133" s="112" t="s">
        <v>1283</v>
      </c>
      <c r="D133" s="112" t="s">
        <v>865</v>
      </c>
      <c r="E133" s="112">
        <v>11</v>
      </c>
      <c r="G133" s="112" t="b">
        <v>1</v>
      </c>
      <c r="H133" s="112" t="b">
        <v>1</v>
      </c>
      <c r="I133" s="112" t="b">
        <v>0</v>
      </c>
    </row>
    <row r="134" spans="1:9" x14ac:dyDescent="0.2">
      <c r="A134" s="112" t="s">
        <v>1259</v>
      </c>
      <c r="B134" s="112" t="s">
        <v>788</v>
      </c>
      <c r="C134" s="112" t="s">
        <v>1284</v>
      </c>
      <c r="D134" s="112" t="s">
        <v>866</v>
      </c>
      <c r="E134" s="112">
        <v>255</v>
      </c>
      <c r="G134" s="112" t="b">
        <v>1</v>
      </c>
      <c r="H134" s="112" t="b">
        <v>0</v>
      </c>
      <c r="I134" s="112" t="b">
        <v>0</v>
      </c>
    </row>
    <row r="135" spans="1:9" x14ac:dyDescent="0.2">
      <c r="A135" s="112" t="s">
        <v>1259</v>
      </c>
      <c r="B135" s="112" t="s">
        <v>967</v>
      </c>
      <c r="C135" s="112" t="s">
        <v>1285</v>
      </c>
      <c r="D135" s="112" t="s">
        <v>866</v>
      </c>
      <c r="E135" s="112">
        <v>255</v>
      </c>
      <c r="F135" s="112" t="s">
        <v>27</v>
      </c>
      <c r="G135" s="112" t="b">
        <v>0</v>
      </c>
      <c r="H135" s="112" t="b">
        <v>0</v>
      </c>
      <c r="I135" s="112" t="b">
        <v>0</v>
      </c>
    </row>
    <row r="136" spans="1:9" x14ac:dyDescent="0.2">
      <c r="A136" s="112" t="s">
        <v>1259</v>
      </c>
      <c r="B136" s="112" t="s">
        <v>3</v>
      </c>
      <c r="C136" s="112" t="s">
        <v>1286</v>
      </c>
      <c r="D136" s="112" t="s">
        <v>868</v>
      </c>
      <c r="F136" s="112" t="s">
        <v>27</v>
      </c>
      <c r="G136" s="112" t="b">
        <v>0</v>
      </c>
      <c r="H136" s="112" t="b">
        <v>0</v>
      </c>
      <c r="I136" s="112" t="b">
        <v>0</v>
      </c>
    </row>
    <row r="137" spans="1:9" x14ac:dyDescent="0.2">
      <c r="A137" s="63" t="s">
        <v>1260</v>
      </c>
      <c r="B137" s="63" t="s">
        <v>1</v>
      </c>
      <c r="C137" s="63" t="s">
        <v>1291</v>
      </c>
      <c r="D137" s="63" t="s">
        <v>865</v>
      </c>
      <c r="E137" s="63">
        <v>11</v>
      </c>
      <c r="F137" s="63"/>
      <c r="G137" s="63" t="b">
        <v>1</v>
      </c>
      <c r="H137" s="63" t="b">
        <v>1</v>
      </c>
      <c r="I137" s="63" t="b">
        <v>0</v>
      </c>
    </row>
    <row r="138" spans="1:9" x14ac:dyDescent="0.2">
      <c r="A138" s="63" t="s">
        <v>1260</v>
      </c>
      <c r="B138" s="63" t="s">
        <v>1261</v>
      </c>
      <c r="C138" s="63" t="s">
        <v>1292</v>
      </c>
      <c r="D138" s="63" t="s">
        <v>865</v>
      </c>
      <c r="E138" s="63">
        <v>11</v>
      </c>
      <c r="F138" s="63"/>
      <c r="G138" s="63" t="b">
        <v>1</v>
      </c>
      <c r="H138" s="63" t="b">
        <v>0</v>
      </c>
      <c r="I138" s="63" t="b">
        <v>0</v>
      </c>
    </row>
    <row r="139" spans="1:9" x14ac:dyDescent="0.2">
      <c r="A139" s="63" t="s">
        <v>1260</v>
      </c>
      <c r="B139" s="63" t="s">
        <v>788</v>
      </c>
      <c r="C139" s="63" t="s">
        <v>1294</v>
      </c>
      <c r="D139" s="63" t="s">
        <v>866</v>
      </c>
      <c r="E139" s="63">
        <v>255</v>
      </c>
      <c r="F139" s="63"/>
      <c r="G139" s="63" t="b">
        <v>1</v>
      </c>
      <c r="H139" s="63" t="b">
        <v>0</v>
      </c>
      <c r="I139" s="63" t="b">
        <v>0</v>
      </c>
    </row>
    <row r="140" spans="1:9" x14ac:dyDescent="0.2">
      <c r="A140" s="63" t="s">
        <v>1260</v>
      </c>
      <c r="B140" s="63" t="s">
        <v>1387</v>
      </c>
      <c r="C140" s="63" t="s">
        <v>1295</v>
      </c>
      <c r="D140" s="63" t="s">
        <v>865</v>
      </c>
      <c r="E140" s="63">
        <v>11</v>
      </c>
      <c r="F140" s="63" t="s">
        <v>27</v>
      </c>
      <c r="G140" s="63" t="b">
        <v>0</v>
      </c>
      <c r="H140" s="63" t="b">
        <v>0</v>
      </c>
      <c r="I140" s="63" t="b">
        <v>0</v>
      </c>
    </row>
    <row r="141" spans="1:9" x14ac:dyDescent="0.2">
      <c r="A141" s="112" t="s">
        <v>1271</v>
      </c>
      <c r="B141" s="112" t="s">
        <v>1</v>
      </c>
      <c r="C141" s="112" t="s">
        <v>1298</v>
      </c>
      <c r="D141" s="112" t="s">
        <v>865</v>
      </c>
      <c r="E141" s="112">
        <v>11</v>
      </c>
      <c r="G141" s="112" t="b">
        <v>1</v>
      </c>
      <c r="H141" s="112" t="b">
        <v>1</v>
      </c>
      <c r="I141" s="112" t="b">
        <v>0</v>
      </c>
    </row>
    <row r="142" spans="1:9" x14ac:dyDescent="0.2">
      <c r="A142" s="112" t="s">
        <v>1271</v>
      </c>
      <c r="B142" s="112" t="s">
        <v>788</v>
      </c>
      <c r="C142" s="112" t="s">
        <v>1299</v>
      </c>
      <c r="D142" s="112" t="s">
        <v>866</v>
      </c>
      <c r="E142" s="112">
        <v>255</v>
      </c>
      <c r="G142" s="112" t="b">
        <v>1</v>
      </c>
      <c r="H142" s="112" t="b">
        <v>0</v>
      </c>
      <c r="I142" s="112" t="b">
        <v>0</v>
      </c>
    </row>
    <row r="143" spans="1:9" x14ac:dyDescent="0.2">
      <c r="A143" s="112" t="s">
        <v>1271</v>
      </c>
      <c r="B143" s="112" t="s">
        <v>867</v>
      </c>
      <c r="C143" s="112" t="s">
        <v>1300</v>
      </c>
      <c r="D143" s="112" t="s">
        <v>866</v>
      </c>
      <c r="E143" s="112">
        <v>20</v>
      </c>
      <c r="G143" s="112" t="b">
        <v>1</v>
      </c>
      <c r="H143" s="112" t="b">
        <v>0</v>
      </c>
      <c r="I143" s="112" t="b">
        <v>0</v>
      </c>
    </row>
    <row r="144" spans="1:9" x14ac:dyDescent="0.2">
      <c r="A144" s="63" t="s">
        <v>1280</v>
      </c>
      <c r="B144" s="63" t="s">
        <v>1</v>
      </c>
      <c r="C144" s="63" t="s">
        <v>1303</v>
      </c>
      <c r="D144" s="63" t="s">
        <v>865</v>
      </c>
      <c r="E144" s="63">
        <v>11</v>
      </c>
      <c r="F144" s="63"/>
      <c r="G144" s="63" t="b">
        <v>1</v>
      </c>
      <c r="H144" s="63" t="b">
        <v>1</v>
      </c>
      <c r="I144" s="63" t="b">
        <v>0</v>
      </c>
    </row>
    <row r="145" spans="1:9" x14ac:dyDescent="0.2">
      <c r="A145" s="63" t="s">
        <v>1280</v>
      </c>
      <c r="B145" s="63" t="s">
        <v>788</v>
      </c>
      <c r="C145" s="63" t="s">
        <v>1304</v>
      </c>
      <c r="D145" s="63" t="s">
        <v>866</v>
      </c>
      <c r="E145" s="63">
        <v>255</v>
      </c>
      <c r="F145" s="63"/>
      <c r="G145" s="63" t="b">
        <v>1</v>
      </c>
      <c r="H145" s="63" t="b">
        <v>0</v>
      </c>
      <c r="I145" s="63" t="b">
        <v>0</v>
      </c>
    </row>
    <row r="146" spans="1:9" x14ac:dyDescent="0.2">
      <c r="A146" s="63" t="s">
        <v>1280</v>
      </c>
      <c r="B146" s="63" t="s">
        <v>867</v>
      </c>
      <c r="C146" s="63" t="s">
        <v>1305</v>
      </c>
      <c r="D146" s="63" t="s">
        <v>866</v>
      </c>
      <c r="E146" s="63">
        <v>20</v>
      </c>
      <c r="F146" s="63"/>
      <c r="G146" s="63" t="b">
        <v>1</v>
      </c>
      <c r="H146" s="63" t="b">
        <v>0</v>
      </c>
      <c r="I146" s="63" t="b">
        <v>0</v>
      </c>
    </row>
    <row r="147" spans="1:9" x14ac:dyDescent="0.2">
      <c r="A147" s="112" t="s">
        <v>1270</v>
      </c>
      <c r="B147" s="112" t="s">
        <v>1</v>
      </c>
      <c r="C147" s="112" t="s">
        <v>1308</v>
      </c>
      <c r="D147" s="112" t="s">
        <v>865</v>
      </c>
      <c r="E147" s="112">
        <v>11</v>
      </c>
      <c r="G147" s="112" t="b">
        <v>1</v>
      </c>
      <c r="H147" s="112" t="b">
        <v>1</v>
      </c>
      <c r="I147" s="112" t="b">
        <v>0</v>
      </c>
    </row>
    <row r="148" spans="1:9" x14ac:dyDescent="0.2">
      <c r="A148" s="112" t="s">
        <v>1270</v>
      </c>
      <c r="B148" s="112" t="s">
        <v>1272</v>
      </c>
      <c r="C148" s="112" t="s">
        <v>1309</v>
      </c>
      <c r="D148" s="112" t="s">
        <v>865</v>
      </c>
      <c r="E148" s="112">
        <v>11</v>
      </c>
      <c r="G148" s="112" t="b">
        <v>1</v>
      </c>
      <c r="H148" s="112" t="b">
        <v>0</v>
      </c>
      <c r="I148" s="112" t="b">
        <v>0</v>
      </c>
    </row>
    <row r="149" spans="1:9" x14ac:dyDescent="0.2">
      <c r="A149" s="112" t="s">
        <v>1270</v>
      </c>
      <c r="B149" s="112" t="s">
        <v>1273</v>
      </c>
      <c r="C149" s="112" t="s">
        <v>1310</v>
      </c>
      <c r="D149" s="112" t="s">
        <v>866</v>
      </c>
      <c r="E149" s="112">
        <v>255</v>
      </c>
      <c r="G149" s="112" t="b">
        <v>1</v>
      </c>
      <c r="H149" s="112" t="b">
        <v>0</v>
      </c>
      <c r="I149" s="112" t="b">
        <v>0</v>
      </c>
    </row>
    <row r="150" spans="1:9" x14ac:dyDescent="0.2">
      <c r="A150" s="112" t="s">
        <v>1270</v>
      </c>
      <c r="B150" s="112" t="s">
        <v>1312</v>
      </c>
      <c r="C150" s="112" t="s">
        <v>1311</v>
      </c>
      <c r="D150" s="112" t="s">
        <v>866</v>
      </c>
      <c r="E150" s="112">
        <v>255</v>
      </c>
      <c r="G150" s="112" t="b">
        <v>1</v>
      </c>
      <c r="H150" s="112" t="b">
        <v>0</v>
      </c>
      <c r="I150" s="112" t="b">
        <v>0</v>
      </c>
    </row>
    <row r="151" spans="1:9" x14ac:dyDescent="0.2">
      <c r="A151" s="112" t="s">
        <v>1270</v>
      </c>
      <c r="B151" s="112" t="s">
        <v>870</v>
      </c>
      <c r="C151" s="112" t="s">
        <v>1313</v>
      </c>
      <c r="D151" s="112" t="s">
        <v>869</v>
      </c>
      <c r="F151" s="112" t="s">
        <v>27</v>
      </c>
      <c r="G151" s="112" t="b">
        <v>0</v>
      </c>
      <c r="H151" s="112" t="b">
        <v>0</v>
      </c>
      <c r="I151" s="112" t="b">
        <v>0</v>
      </c>
    </row>
    <row r="152" spans="1:9" x14ac:dyDescent="0.2">
      <c r="A152" s="112" t="s">
        <v>1270</v>
      </c>
      <c r="B152" s="112" t="s">
        <v>967</v>
      </c>
      <c r="C152" s="112" t="s">
        <v>1315</v>
      </c>
      <c r="D152" s="112" t="s">
        <v>866</v>
      </c>
      <c r="E152" s="112">
        <v>255</v>
      </c>
      <c r="F152" s="112" t="s">
        <v>27</v>
      </c>
      <c r="G152" s="112" t="b">
        <v>0</v>
      </c>
      <c r="H152" s="112" t="b">
        <v>0</v>
      </c>
      <c r="I152" s="112" t="b">
        <v>0</v>
      </c>
    </row>
    <row r="153" spans="1:9" x14ac:dyDescent="0.2">
      <c r="A153" s="112" t="s">
        <v>1270</v>
      </c>
      <c r="B153" s="112" t="s">
        <v>973</v>
      </c>
      <c r="C153" s="112" t="s">
        <v>1316</v>
      </c>
      <c r="D153" s="112" t="s">
        <v>866</v>
      </c>
      <c r="E153" s="112">
        <v>255</v>
      </c>
      <c r="F153" s="112" t="s">
        <v>27</v>
      </c>
      <c r="G153" s="112" t="b">
        <v>0</v>
      </c>
      <c r="H153" s="112" t="b">
        <v>0</v>
      </c>
      <c r="I153" s="112" t="b">
        <v>0</v>
      </c>
    </row>
    <row r="154" spans="1:9" x14ac:dyDescent="0.2">
      <c r="A154" s="112" t="s">
        <v>1270</v>
      </c>
      <c r="B154" s="112" t="s">
        <v>1280</v>
      </c>
      <c r="C154" s="112" t="s">
        <v>1317</v>
      </c>
      <c r="D154" s="112" t="s">
        <v>866</v>
      </c>
      <c r="E154" s="112">
        <v>255</v>
      </c>
      <c r="G154" s="112" t="b">
        <v>1</v>
      </c>
      <c r="H154" s="112" t="b">
        <v>0</v>
      </c>
      <c r="I154" s="112" t="b">
        <v>0</v>
      </c>
    </row>
    <row r="155" spans="1:9" x14ac:dyDescent="0.2">
      <c r="A155" s="112" t="s">
        <v>1270</v>
      </c>
      <c r="B155" s="112" t="s">
        <v>3</v>
      </c>
      <c r="C155" s="112" t="s">
        <v>1318</v>
      </c>
      <c r="D155" s="112" t="s">
        <v>868</v>
      </c>
      <c r="F155" s="112" t="s">
        <v>27</v>
      </c>
      <c r="G155" s="112" t="b">
        <v>0</v>
      </c>
      <c r="H155" s="112" t="b">
        <v>0</v>
      </c>
      <c r="I155" s="112" t="b">
        <v>0</v>
      </c>
    </row>
    <row r="156" spans="1:9" x14ac:dyDescent="0.2">
      <c r="A156" s="112" t="s">
        <v>1270</v>
      </c>
      <c r="B156" s="112" t="s">
        <v>162</v>
      </c>
      <c r="C156" s="112" t="s">
        <v>1319</v>
      </c>
      <c r="D156" s="112" t="s">
        <v>868</v>
      </c>
      <c r="F156" s="112" t="s">
        <v>27</v>
      </c>
      <c r="G156" s="112" t="b">
        <v>0</v>
      </c>
      <c r="H156" s="112" t="b">
        <v>0</v>
      </c>
      <c r="I156" s="112" t="b">
        <v>0</v>
      </c>
    </row>
    <row r="157" spans="1:9" x14ac:dyDescent="0.2">
      <c r="A157" s="63" t="s">
        <v>1279</v>
      </c>
      <c r="B157" s="63" t="s">
        <v>1</v>
      </c>
      <c r="C157" s="63" t="s">
        <v>1322</v>
      </c>
      <c r="D157" s="63" t="s">
        <v>865</v>
      </c>
      <c r="E157" s="63">
        <v>11</v>
      </c>
      <c r="F157" s="63"/>
      <c r="G157" s="63" t="b">
        <v>1</v>
      </c>
      <c r="H157" s="63" t="b">
        <v>1</v>
      </c>
      <c r="I157" s="63" t="b">
        <v>0</v>
      </c>
    </row>
    <row r="158" spans="1:9" x14ac:dyDescent="0.2">
      <c r="A158" s="63" t="s">
        <v>1279</v>
      </c>
      <c r="B158" s="63" t="s">
        <v>1278</v>
      </c>
      <c r="C158" s="63" t="s">
        <v>1323</v>
      </c>
      <c r="D158" s="63" t="s">
        <v>865</v>
      </c>
      <c r="E158" s="63">
        <v>11</v>
      </c>
      <c r="F158" s="63"/>
      <c r="G158" s="63" t="b">
        <v>1</v>
      </c>
      <c r="H158" s="63" t="b">
        <v>0</v>
      </c>
      <c r="I158" s="63" t="b">
        <v>0</v>
      </c>
    </row>
    <row r="159" spans="1:9" x14ac:dyDescent="0.2">
      <c r="A159" s="63" t="s">
        <v>1279</v>
      </c>
      <c r="B159" s="63" t="s">
        <v>1272</v>
      </c>
      <c r="C159" s="63" t="s">
        <v>1324</v>
      </c>
      <c r="D159" s="63" t="s">
        <v>865</v>
      </c>
      <c r="E159" s="63">
        <v>11</v>
      </c>
      <c r="F159" s="63"/>
      <c r="G159" s="63" t="b">
        <v>1</v>
      </c>
      <c r="H159" s="63" t="b">
        <v>0</v>
      </c>
      <c r="I159" s="63" t="b">
        <v>0</v>
      </c>
    </row>
    <row r="160" spans="1:9" x14ac:dyDescent="0.2">
      <c r="A160" s="63" t="s">
        <v>1279</v>
      </c>
      <c r="B160" s="63" t="s">
        <v>946</v>
      </c>
      <c r="C160" s="63" t="s">
        <v>1325</v>
      </c>
      <c r="D160" s="63" t="s">
        <v>873</v>
      </c>
      <c r="E160" s="63" t="s">
        <v>871</v>
      </c>
      <c r="F160" s="63">
        <v>0</v>
      </c>
      <c r="G160" s="63" t="b">
        <v>1</v>
      </c>
      <c r="H160" s="63" t="b">
        <v>0</v>
      </c>
      <c r="I160" s="63" t="b">
        <v>0</v>
      </c>
    </row>
    <row r="161" spans="1:9" x14ac:dyDescent="0.2">
      <c r="A161" s="63" t="s">
        <v>1279</v>
      </c>
      <c r="B161" s="63" t="s">
        <v>967</v>
      </c>
      <c r="C161" s="63" t="s">
        <v>1326</v>
      </c>
      <c r="D161" s="63" t="s">
        <v>866</v>
      </c>
      <c r="E161" s="63">
        <v>255</v>
      </c>
      <c r="F161" s="63" t="s">
        <v>27</v>
      </c>
      <c r="G161" s="63" t="b">
        <v>0</v>
      </c>
      <c r="H161" s="63" t="b">
        <v>0</v>
      </c>
      <c r="I161" s="63" t="b">
        <v>0</v>
      </c>
    </row>
    <row r="162" spans="1:9" x14ac:dyDescent="0.2">
      <c r="A162" s="112" t="s">
        <v>1327</v>
      </c>
      <c r="B162" s="112" t="s">
        <v>1</v>
      </c>
      <c r="C162" s="112" t="s">
        <v>1351</v>
      </c>
      <c r="D162" s="112" t="s">
        <v>865</v>
      </c>
      <c r="E162" s="112">
        <v>11</v>
      </c>
      <c r="G162" s="112" t="b">
        <v>1</v>
      </c>
      <c r="H162" s="112" t="b">
        <v>1</v>
      </c>
      <c r="I162" s="112" t="b">
        <v>0</v>
      </c>
    </row>
    <row r="163" spans="1:9" x14ac:dyDescent="0.2">
      <c r="A163" s="112" t="s">
        <v>1327</v>
      </c>
      <c r="B163" s="112" t="s">
        <v>788</v>
      </c>
      <c r="C163" s="112" t="s">
        <v>1352</v>
      </c>
      <c r="D163" s="112" t="s">
        <v>866</v>
      </c>
      <c r="E163" s="112">
        <v>255</v>
      </c>
      <c r="G163" s="112" t="b">
        <v>1</v>
      </c>
      <c r="H163" s="112" t="b">
        <v>0</v>
      </c>
      <c r="I163" s="112" t="b">
        <v>0</v>
      </c>
    </row>
    <row r="164" spans="1:9" x14ac:dyDescent="0.2">
      <c r="A164" s="112" t="s">
        <v>1327</v>
      </c>
      <c r="B164" s="112" t="s">
        <v>967</v>
      </c>
      <c r="C164" s="112" t="s">
        <v>1353</v>
      </c>
      <c r="D164" s="112" t="s">
        <v>866</v>
      </c>
      <c r="E164" s="112">
        <v>255</v>
      </c>
      <c r="F164" s="112" t="s">
        <v>27</v>
      </c>
      <c r="G164" s="112" t="b">
        <v>0</v>
      </c>
      <c r="H164" s="112" t="b">
        <v>0</v>
      </c>
      <c r="I164" s="112" t="b">
        <v>0</v>
      </c>
    </row>
    <row r="165" spans="1:9" x14ac:dyDescent="0.2">
      <c r="A165" s="112" t="s">
        <v>1327</v>
      </c>
      <c r="B165" s="112" t="s">
        <v>870</v>
      </c>
      <c r="C165" s="112" t="s">
        <v>1354</v>
      </c>
      <c r="D165" s="112" t="s">
        <v>869</v>
      </c>
      <c r="F165" s="112" t="s">
        <v>27</v>
      </c>
      <c r="G165" s="112" t="b">
        <v>0</v>
      </c>
      <c r="H165" s="112" t="b">
        <v>0</v>
      </c>
      <c r="I165" s="112" t="b">
        <v>0</v>
      </c>
    </row>
    <row r="166" spans="1:9" x14ac:dyDescent="0.2">
      <c r="A166" s="112" t="s">
        <v>1327</v>
      </c>
      <c r="B166" s="112" t="s">
        <v>3</v>
      </c>
      <c r="C166" s="112" t="s">
        <v>1355</v>
      </c>
      <c r="D166" s="112" t="s">
        <v>868</v>
      </c>
      <c r="F166" s="112" t="s">
        <v>27</v>
      </c>
      <c r="G166" s="112" t="b">
        <v>0</v>
      </c>
      <c r="H166" s="112" t="b">
        <v>0</v>
      </c>
      <c r="I166" s="112" t="b">
        <v>0</v>
      </c>
    </row>
    <row r="167" spans="1:9" x14ac:dyDescent="0.2">
      <c r="A167" s="63" t="s">
        <v>1330</v>
      </c>
      <c r="B167" s="63" t="s">
        <v>1</v>
      </c>
      <c r="C167" s="63" t="s">
        <v>1358</v>
      </c>
      <c r="D167" s="63" t="s">
        <v>865</v>
      </c>
      <c r="E167" s="63">
        <v>11</v>
      </c>
      <c r="F167" s="63"/>
      <c r="G167" s="63" t="b">
        <v>1</v>
      </c>
      <c r="H167" s="63" t="b">
        <v>1</v>
      </c>
      <c r="I167" s="63" t="b">
        <v>0</v>
      </c>
    </row>
    <row r="168" spans="1:9" x14ac:dyDescent="0.2">
      <c r="A168" s="63" t="s">
        <v>1330</v>
      </c>
      <c r="B168" s="63" t="s">
        <v>1312</v>
      </c>
      <c r="C168" s="63" t="s">
        <v>1359</v>
      </c>
      <c r="D168" s="63" t="s">
        <v>866</v>
      </c>
      <c r="E168" s="63">
        <v>255</v>
      </c>
      <c r="F168" s="63"/>
      <c r="G168" s="63" t="b">
        <v>1</v>
      </c>
      <c r="H168" s="63" t="b">
        <v>0</v>
      </c>
      <c r="I168" s="63" t="b">
        <v>0</v>
      </c>
    </row>
    <row r="169" spans="1:9" x14ac:dyDescent="0.2">
      <c r="A169" s="63" t="s">
        <v>1330</v>
      </c>
      <c r="B169" s="63" t="s">
        <v>870</v>
      </c>
      <c r="C169" s="63" t="s">
        <v>1360</v>
      </c>
      <c r="D169" s="63" t="s">
        <v>869</v>
      </c>
      <c r="E169" s="63"/>
      <c r="F169" s="63" t="s">
        <v>27</v>
      </c>
      <c r="G169" s="63" t="b">
        <v>0</v>
      </c>
      <c r="H169" s="63" t="b">
        <v>0</v>
      </c>
      <c r="I169" s="63" t="b">
        <v>0</v>
      </c>
    </row>
    <row r="170" spans="1:9" x14ac:dyDescent="0.2">
      <c r="A170" s="63" t="s">
        <v>1330</v>
      </c>
      <c r="B170" s="63" t="s">
        <v>967</v>
      </c>
      <c r="C170" s="63" t="s">
        <v>1361</v>
      </c>
      <c r="D170" s="63" t="s">
        <v>866</v>
      </c>
      <c r="E170" s="63">
        <v>255</v>
      </c>
      <c r="F170" s="63"/>
      <c r="G170" s="63" t="b">
        <v>1</v>
      </c>
      <c r="H170" s="63" t="b">
        <v>0</v>
      </c>
      <c r="I170" s="63" t="b">
        <v>0</v>
      </c>
    </row>
    <row r="171" spans="1:9" x14ac:dyDescent="0.2">
      <c r="A171" s="63" t="s">
        <v>1330</v>
      </c>
      <c r="B171" s="63" t="s">
        <v>973</v>
      </c>
      <c r="C171" s="63" t="s">
        <v>1362</v>
      </c>
      <c r="D171" s="63" t="s">
        <v>866</v>
      </c>
      <c r="E171" s="63">
        <v>255</v>
      </c>
      <c r="F171" s="63" t="s">
        <v>27</v>
      </c>
      <c r="G171" s="63" t="b">
        <v>0</v>
      </c>
      <c r="H171" s="63" t="b">
        <v>0</v>
      </c>
      <c r="I171" s="63" t="b">
        <v>0</v>
      </c>
    </row>
    <row r="172" spans="1:9" x14ac:dyDescent="0.2">
      <c r="A172" s="63" t="s">
        <v>1330</v>
      </c>
      <c r="B172" s="63" t="s">
        <v>3</v>
      </c>
      <c r="C172" s="63" t="s">
        <v>1363</v>
      </c>
      <c r="D172" s="63" t="s">
        <v>868</v>
      </c>
      <c r="E172" s="63"/>
      <c r="F172" s="63" t="s">
        <v>27</v>
      </c>
      <c r="G172" s="63" t="b">
        <v>0</v>
      </c>
      <c r="H172" s="63" t="b">
        <v>0</v>
      </c>
      <c r="I172" s="63" t="b">
        <v>0</v>
      </c>
    </row>
    <row r="173" spans="1:9" x14ac:dyDescent="0.2">
      <c r="A173" s="63" t="s">
        <v>1330</v>
      </c>
      <c r="B173" s="63" t="s">
        <v>162</v>
      </c>
      <c r="C173" s="63" t="s">
        <v>1364</v>
      </c>
      <c r="D173" s="63" t="s">
        <v>868</v>
      </c>
      <c r="E173" s="63"/>
      <c r="F173" s="63" t="s">
        <v>27</v>
      </c>
      <c r="G173" s="63" t="b">
        <v>0</v>
      </c>
      <c r="H173" s="63" t="b">
        <v>0</v>
      </c>
      <c r="I173" s="63" t="b">
        <v>0</v>
      </c>
    </row>
    <row r="174" spans="1:9" x14ac:dyDescent="0.2">
      <c r="A174" s="112" t="s">
        <v>1328</v>
      </c>
      <c r="B174" s="112" t="s">
        <v>1</v>
      </c>
      <c r="C174" s="112" t="s">
        <v>1367</v>
      </c>
      <c r="D174" s="112" t="s">
        <v>865</v>
      </c>
      <c r="E174" s="112">
        <v>11</v>
      </c>
      <c r="G174" s="112" t="b">
        <v>1</v>
      </c>
      <c r="H174" s="112" t="b">
        <v>1</v>
      </c>
      <c r="I174" s="112" t="b">
        <v>0</v>
      </c>
    </row>
    <row r="175" spans="1:9" x14ac:dyDescent="0.2">
      <c r="A175" s="112" t="s">
        <v>1328</v>
      </c>
      <c r="B175" s="112" t="s">
        <v>1331</v>
      </c>
      <c r="C175" s="112" t="s">
        <v>1368</v>
      </c>
      <c r="D175" s="112" t="s">
        <v>865</v>
      </c>
      <c r="E175" s="112">
        <v>11</v>
      </c>
      <c r="G175" s="112" t="b">
        <v>1</v>
      </c>
      <c r="H175" s="112" t="b">
        <v>0</v>
      </c>
      <c r="I175" s="112" t="b">
        <v>0</v>
      </c>
    </row>
    <row r="176" spans="1:9" x14ac:dyDescent="0.2">
      <c r="A176" s="112" t="s">
        <v>1328</v>
      </c>
      <c r="B176" s="112" t="s">
        <v>788</v>
      </c>
      <c r="C176" s="112" t="s">
        <v>1370</v>
      </c>
      <c r="D176" s="112" t="s">
        <v>866</v>
      </c>
      <c r="E176" s="112">
        <v>255</v>
      </c>
      <c r="G176" s="112" t="b">
        <v>1</v>
      </c>
      <c r="H176" s="112" t="b">
        <v>0</v>
      </c>
      <c r="I176" s="112" t="b">
        <v>0</v>
      </c>
    </row>
    <row r="177" spans="1:9" x14ac:dyDescent="0.2">
      <c r="A177" s="112" t="s">
        <v>1328</v>
      </c>
      <c r="B177" s="112" t="s">
        <v>1387</v>
      </c>
      <c r="C177" s="112" t="s">
        <v>1371</v>
      </c>
      <c r="D177" s="112" t="s">
        <v>865</v>
      </c>
      <c r="E177" s="112">
        <v>11</v>
      </c>
      <c r="F177" s="112" t="s">
        <v>27</v>
      </c>
      <c r="G177" s="112" t="b">
        <v>0</v>
      </c>
      <c r="H177" s="112" t="b">
        <v>0</v>
      </c>
      <c r="I177" s="112" t="b">
        <v>0</v>
      </c>
    </row>
    <row r="178" spans="1:9" x14ac:dyDescent="0.2">
      <c r="A178" s="63" t="s">
        <v>1333</v>
      </c>
      <c r="B178" s="63" t="s">
        <v>1</v>
      </c>
      <c r="C178" s="63" t="s">
        <v>1374</v>
      </c>
      <c r="D178" s="63" t="s">
        <v>865</v>
      </c>
      <c r="E178" s="63">
        <v>11</v>
      </c>
      <c r="F178" s="63"/>
      <c r="G178" s="63" t="b">
        <v>1</v>
      </c>
      <c r="H178" s="63" t="b">
        <v>1</v>
      </c>
      <c r="I178" s="63" t="b">
        <v>0</v>
      </c>
    </row>
    <row r="179" spans="1:9" x14ac:dyDescent="0.2">
      <c r="A179" s="63" t="s">
        <v>1333</v>
      </c>
      <c r="B179" s="63" t="s">
        <v>1334</v>
      </c>
      <c r="C179" s="63" t="s">
        <v>1375</v>
      </c>
      <c r="D179" s="63" t="s">
        <v>865</v>
      </c>
      <c r="E179" s="63">
        <v>11</v>
      </c>
      <c r="F179" s="63"/>
      <c r="G179" s="63" t="b">
        <v>1</v>
      </c>
      <c r="H179" s="63" t="b">
        <v>0</v>
      </c>
      <c r="I179" s="63" t="b">
        <v>0</v>
      </c>
    </row>
    <row r="180" spans="1:9" x14ac:dyDescent="0.2">
      <c r="A180" s="63" t="s">
        <v>1333</v>
      </c>
      <c r="B180" s="63" t="s">
        <v>1332</v>
      </c>
      <c r="C180" s="63" t="s">
        <v>1377</v>
      </c>
      <c r="D180" s="63" t="s">
        <v>865</v>
      </c>
      <c r="E180" s="63">
        <v>11</v>
      </c>
      <c r="F180" s="63"/>
      <c r="G180" s="63" t="b">
        <v>1</v>
      </c>
      <c r="H180" s="63" t="b">
        <v>0</v>
      </c>
      <c r="I180" s="63" t="b">
        <v>0</v>
      </c>
    </row>
    <row r="181" spans="1:9" x14ac:dyDescent="0.2">
      <c r="A181" s="63" t="s">
        <v>1333</v>
      </c>
      <c r="B181" s="63" t="s">
        <v>1312</v>
      </c>
      <c r="C181" s="63" t="s">
        <v>1378</v>
      </c>
      <c r="D181" s="63" t="s">
        <v>866</v>
      </c>
      <c r="E181" s="63">
        <v>255</v>
      </c>
      <c r="F181" s="63"/>
      <c r="G181" s="63" t="b">
        <v>1</v>
      </c>
      <c r="H181" s="63" t="b">
        <v>0</v>
      </c>
      <c r="I181" s="63" t="b">
        <v>0</v>
      </c>
    </row>
    <row r="182" spans="1:9" x14ac:dyDescent="0.2">
      <c r="A182" s="63" t="s">
        <v>1333</v>
      </c>
      <c r="B182" s="63" t="s">
        <v>1343</v>
      </c>
      <c r="C182" s="63" t="s">
        <v>1379</v>
      </c>
      <c r="D182" s="63" t="s">
        <v>866</v>
      </c>
      <c r="E182" s="63">
        <v>255</v>
      </c>
      <c r="F182" s="63"/>
      <c r="G182" s="63" t="b">
        <v>1</v>
      </c>
      <c r="H182" s="63" t="b">
        <v>0</v>
      </c>
      <c r="I182" s="63" t="b">
        <v>0</v>
      </c>
    </row>
    <row r="183" spans="1:9" x14ac:dyDescent="0.2">
      <c r="A183" s="63" t="s">
        <v>1333</v>
      </c>
      <c r="B183" s="63" t="s">
        <v>967</v>
      </c>
      <c r="C183" s="63" t="s">
        <v>1380</v>
      </c>
      <c r="D183" s="63" t="s">
        <v>866</v>
      </c>
      <c r="E183" s="63">
        <v>255</v>
      </c>
      <c r="F183" s="63" t="s">
        <v>27</v>
      </c>
      <c r="G183" s="63" t="b">
        <v>0</v>
      </c>
      <c r="H183" s="63" t="b">
        <v>0</v>
      </c>
      <c r="I183" s="63" t="b">
        <v>0</v>
      </c>
    </row>
    <row r="184" spans="1:9" x14ac:dyDescent="0.2">
      <c r="A184" s="112" t="s">
        <v>1036</v>
      </c>
      <c r="B184" s="112" t="s">
        <v>1</v>
      </c>
      <c r="C184" s="112" t="s">
        <v>1381</v>
      </c>
      <c r="D184" s="112" t="s">
        <v>865</v>
      </c>
      <c r="E184" s="112">
        <v>11</v>
      </c>
      <c r="G184" s="112" t="b">
        <v>1</v>
      </c>
      <c r="H184" s="112" t="b">
        <v>1</v>
      </c>
      <c r="I184" s="112" t="b">
        <v>0</v>
      </c>
    </row>
    <row r="185" spans="1:9" x14ac:dyDescent="0.2">
      <c r="A185" s="112" t="s">
        <v>1036</v>
      </c>
      <c r="B185" s="112" t="s">
        <v>788</v>
      </c>
      <c r="C185" s="112" t="s">
        <v>1382</v>
      </c>
      <c r="D185" s="112" t="s">
        <v>866</v>
      </c>
      <c r="E185" s="112">
        <v>255</v>
      </c>
      <c r="G185" s="112" t="b">
        <v>1</v>
      </c>
      <c r="H185" s="112" t="b">
        <v>0</v>
      </c>
      <c r="I185" s="112" t="b">
        <v>0</v>
      </c>
    </row>
    <row r="186" spans="1:9" x14ac:dyDescent="0.2">
      <c r="A186" s="112" t="s">
        <v>1036</v>
      </c>
      <c r="B186" s="112" t="s">
        <v>867</v>
      </c>
      <c r="C186" s="112" t="s">
        <v>1383</v>
      </c>
      <c r="D186" s="112" t="s">
        <v>866</v>
      </c>
      <c r="E186" s="112">
        <v>20</v>
      </c>
      <c r="G186" s="112" t="b">
        <v>1</v>
      </c>
      <c r="H186" s="112" t="b">
        <v>0</v>
      </c>
      <c r="I186" s="112" t="b">
        <v>0</v>
      </c>
    </row>
    <row r="187" spans="1:9" x14ac:dyDescent="0.2">
      <c r="A187" s="63" t="s">
        <v>1262</v>
      </c>
      <c r="B187" s="63" t="s">
        <v>1</v>
      </c>
      <c r="C187" s="63" t="s">
        <v>1384</v>
      </c>
      <c r="D187" s="63" t="s">
        <v>865</v>
      </c>
      <c r="E187" s="63">
        <v>11</v>
      </c>
      <c r="F187" s="63"/>
      <c r="G187" s="63" t="b">
        <v>1</v>
      </c>
      <c r="H187" s="63" t="b">
        <v>1</v>
      </c>
      <c r="I187" s="63" t="b">
        <v>0</v>
      </c>
    </row>
    <row r="188" spans="1:9" x14ac:dyDescent="0.2">
      <c r="A188" s="63" t="s">
        <v>1262</v>
      </c>
      <c r="B188" s="63" t="s">
        <v>788</v>
      </c>
      <c r="C188" s="63" t="s">
        <v>1385</v>
      </c>
      <c r="D188" s="63" t="s">
        <v>866</v>
      </c>
      <c r="E188" s="63">
        <v>255</v>
      </c>
      <c r="F188" s="63"/>
      <c r="G188" s="63" t="b">
        <v>1</v>
      </c>
      <c r="H188" s="63" t="b">
        <v>0</v>
      </c>
      <c r="I188" s="63" t="b">
        <v>0</v>
      </c>
    </row>
    <row r="189" spans="1:9" x14ac:dyDescent="0.2">
      <c r="A189" s="63" t="s">
        <v>1262</v>
      </c>
      <c r="B189" s="63" t="s">
        <v>967</v>
      </c>
      <c r="C189" s="63" t="s">
        <v>1386</v>
      </c>
      <c r="D189" s="63" t="s">
        <v>866</v>
      </c>
      <c r="E189" s="63">
        <v>255</v>
      </c>
      <c r="F189" s="63" t="s">
        <v>27</v>
      </c>
      <c r="G189" s="63" t="b">
        <v>0</v>
      </c>
      <c r="H189" s="63" t="b">
        <v>0</v>
      </c>
      <c r="I189" s="63" t="b">
        <v>0</v>
      </c>
    </row>
  </sheetData>
  <autoFilter ref="A1:I406" xr:uid="{00000000-0009-0000-0000-000004000000}"/>
  <conditionalFormatting sqref="G1:H1">
    <cfRule type="cellIs" dxfId="28" priority="29" operator="equal">
      <formula>TRUE</formula>
    </cfRule>
  </conditionalFormatting>
  <conditionalFormatting sqref="G1:H1">
    <cfRule type="cellIs" dxfId="27" priority="28" operator="equal">
      <formula>TRUE</formula>
    </cfRule>
  </conditionalFormatting>
  <conditionalFormatting sqref="G1:I1">
    <cfRule type="cellIs" dxfId="26" priority="27" operator="equal">
      <formula>TRUE</formula>
    </cfRule>
  </conditionalFormatting>
  <conditionalFormatting sqref="G1:I1">
    <cfRule type="cellIs" dxfId="25" priority="26" operator="equal">
      <formula>TRUE</formula>
    </cfRule>
  </conditionalFormatting>
  <conditionalFormatting sqref="G1:I1">
    <cfRule type="cellIs" dxfId="24" priority="25" operator="equal">
      <formula>TRUE</formula>
    </cfRule>
  </conditionalFormatting>
  <conditionalFormatting sqref="G1:I1">
    <cfRule type="cellIs" dxfId="23" priority="24" operator="equal">
      <formula>TRUE</formula>
    </cfRule>
  </conditionalFormatting>
  <conditionalFormatting sqref="G1:I1">
    <cfRule type="cellIs" dxfId="22" priority="23" operator="equal">
      <formula>TRUE</formula>
    </cfRule>
  </conditionalFormatting>
  <conditionalFormatting sqref="G1:I1">
    <cfRule type="cellIs" dxfId="21" priority="22" operator="equal">
      <formula>TRUE</formula>
    </cfRule>
  </conditionalFormatting>
  <conditionalFormatting sqref="G1:I1">
    <cfRule type="cellIs" dxfId="20" priority="21" operator="equal">
      <formula>TRUE</formula>
    </cfRule>
  </conditionalFormatting>
  <conditionalFormatting sqref="G1:I1">
    <cfRule type="cellIs" dxfId="19" priority="20" operator="equal">
      <formula>TRUE</formula>
    </cfRule>
  </conditionalFormatting>
  <conditionalFormatting sqref="G1:I1">
    <cfRule type="cellIs" dxfId="18" priority="19" operator="equal">
      <formula>TRUE</formula>
    </cfRule>
  </conditionalFormatting>
  <conditionalFormatting sqref="G1:I1">
    <cfRule type="cellIs" dxfId="17" priority="18" operator="equal">
      <formula>TRUE</formula>
    </cfRule>
  </conditionalFormatting>
  <conditionalFormatting sqref="G1:I1">
    <cfRule type="cellIs" dxfId="16" priority="17" operator="equal">
      <formula>TRUE</formula>
    </cfRule>
  </conditionalFormatting>
  <conditionalFormatting sqref="G1:I1">
    <cfRule type="cellIs" dxfId="15" priority="16" operator="equal">
      <formula>TRUE</formula>
    </cfRule>
  </conditionalFormatting>
  <conditionalFormatting sqref="G1:I1">
    <cfRule type="cellIs" dxfId="14" priority="15" operator="equal">
      <formula>TRUE</formula>
    </cfRule>
  </conditionalFormatting>
  <conditionalFormatting sqref="G1:I1">
    <cfRule type="cellIs" dxfId="13" priority="14" operator="equal">
      <formula>TRUE</formula>
    </cfRule>
  </conditionalFormatting>
  <conditionalFormatting sqref="G1:I1">
    <cfRule type="cellIs" dxfId="12" priority="13" operator="equal">
      <formula>TRUE</formula>
    </cfRule>
  </conditionalFormatting>
  <conditionalFormatting sqref="G1:I1">
    <cfRule type="cellIs" dxfId="11" priority="12" operator="equal">
      <formula>TRUE</formula>
    </cfRule>
  </conditionalFormatting>
  <conditionalFormatting sqref="G1:I1">
    <cfRule type="cellIs" dxfId="10" priority="11" operator="equal">
      <formula>TRUE</formula>
    </cfRule>
  </conditionalFormatting>
  <conditionalFormatting sqref="G1:I1">
    <cfRule type="cellIs" dxfId="9" priority="10" operator="equal">
      <formula>TRUE</formula>
    </cfRule>
  </conditionalFormatting>
  <conditionalFormatting sqref="G1:I1">
    <cfRule type="cellIs" dxfId="8" priority="9" operator="equal">
      <formula>TRUE</formula>
    </cfRule>
  </conditionalFormatting>
  <conditionalFormatting sqref="G1:I1">
    <cfRule type="cellIs" dxfId="7" priority="8" operator="equal">
      <formula>TRUE</formula>
    </cfRule>
  </conditionalFormatting>
  <conditionalFormatting sqref="G1:I1">
    <cfRule type="cellIs" dxfId="6" priority="7" operator="equal">
      <formula>TRUE</formula>
    </cfRule>
  </conditionalFormatting>
  <conditionalFormatting sqref="G1:I1">
    <cfRule type="cellIs" dxfId="5" priority="6" operator="equal">
      <formula>TRUE</formula>
    </cfRule>
  </conditionalFormatting>
  <conditionalFormatting sqref="G1:I1">
    <cfRule type="cellIs" dxfId="4" priority="5" operator="equal">
      <formula>TRUE</formula>
    </cfRule>
  </conditionalFormatting>
  <conditionalFormatting sqref="G1:I1">
    <cfRule type="cellIs" dxfId="3" priority="4" operator="equal">
      <formula>TRUE</formula>
    </cfRule>
  </conditionalFormatting>
  <conditionalFormatting sqref="G1:I1">
    <cfRule type="cellIs" dxfId="2" priority="3" operator="equal">
      <formula>TRUE</formula>
    </cfRule>
  </conditionalFormatting>
  <conditionalFormatting sqref="G1:I1">
    <cfRule type="cellIs" dxfId="1" priority="2" operator="equal">
      <formula>TRUE</formula>
    </cfRule>
  </conditionalFormatting>
  <conditionalFormatting sqref="G1:I1048576">
    <cfRule type="cellIs" dxfId="0" priority="1" operator="equal">
      <formula>TRUE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1:A353"/>
  <sheetViews>
    <sheetView workbookViewId="0"/>
  </sheetViews>
  <sheetFormatPr defaultRowHeight="12.75" x14ac:dyDescent="0.2"/>
  <cols>
    <col min="1" max="16384" width="9.140625" style="112"/>
  </cols>
  <sheetData>
    <row r="1" spans="1:1" x14ac:dyDescent="0.2">
      <c r="A1" s="41" t="s">
        <v>1047</v>
      </c>
    </row>
    <row r="2" spans="1:1" x14ac:dyDescent="0.2">
      <c r="A2" s="41" t="s">
        <v>1048</v>
      </c>
    </row>
    <row r="3" spans="1:1" x14ac:dyDescent="0.2">
      <c r="A3" s="42" t="s">
        <v>238</v>
      </c>
    </row>
    <row r="4" spans="1:1" x14ac:dyDescent="0.2">
      <c r="A4" s="42" t="s">
        <v>239</v>
      </c>
    </row>
    <row r="5" spans="1:1" x14ac:dyDescent="0.2">
      <c r="A5" s="42" t="s">
        <v>244</v>
      </c>
    </row>
    <row r="6" spans="1:1" x14ac:dyDescent="0.2">
      <c r="A6" s="42" t="s">
        <v>959</v>
      </c>
    </row>
    <row r="7" spans="1:1" x14ac:dyDescent="0.2">
      <c r="A7" s="42" t="s">
        <v>1398</v>
      </c>
    </row>
    <row r="8" spans="1:1" x14ac:dyDescent="0.2">
      <c r="A8" s="42" t="s">
        <v>273</v>
      </c>
    </row>
    <row r="9" spans="1:1" x14ac:dyDescent="0.2">
      <c r="A9" s="41" t="s">
        <v>274</v>
      </c>
    </row>
    <row r="10" spans="1:1" x14ac:dyDescent="0.2">
      <c r="A10" s="41"/>
    </row>
    <row r="11" spans="1:1" x14ac:dyDescent="0.2">
      <c r="A11" s="41" t="s">
        <v>1049</v>
      </c>
    </row>
    <row r="12" spans="1:1" x14ac:dyDescent="0.2">
      <c r="A12" s="41" t="s">
        <v>1050</v>
      </c>
    </row>
    <row r="13" spans="1:1" x14ac:dyDescent="0.2">
      <c r="A13" s="42" t="s">
        <v>238</v>
      </c>
    </row>
    <row r="14" spans="1:1" x14ac:dyDescent="0.2">
      <c r="A14" s="42" t="s">
        <v>239</v>
      </c>
    </row>
    <row r="15" spans="1:1" x14ac:dyDescent="0.2">
      <c r="A15" s="42" t="s">
        <v>240</v>
      </c>
    </row>
    <row r="16" spans="1:1" x14ac:dyDescent="0.2">
      <c r="A16" s="42" t="s">
        <v>273</v>
      </c>
    </row>
    <row r="17" spans="1:1" x14ac:dyDescent="0.2">
      <c r="A17" s="41" t="s">
        <v>274</v>
      </c>
    </row>
    <row r="18" spans="1:1" x14ac:dyDescent="0.2">
      <c r="A18" s="41"/>
    </row>
    <row r="19" spans="1:1" x14ac:dyDescent="0.2">
      <c r="A19" s="41" t="s">
        <v>1054</v>
      </c>
    </row>
    <row r="20" spans="1:1" x14ac:dyDescent="0.2">
      <c r="A20" s="41" t="s">
        <v>1055</v>
      </c>
    </row>
    <row r="21" spans="1:1" x14ac:dyDescent="0.2">
      <c r="A21" s="42" t="s">
        <v>238</v>
      </c>
    </row>
    <row r="22" spans="1:1" x14ac:dyDescent="0.2">
      <c r="A22" s="42" t="s">
        <v>239</v>
      </c>
    </row>
    <row r="23" spans="1:1" x14ac:dyDescent="0.2">
      <c r="A23" s="42" t="s">
        <v>240</v>
      </c>
    </row>
    <row r="24" spans="1:1" x14ac:dyDescent="0.2">
      <c r="A24" s="42" t="s">
        <v>273</v>
      </c>
    </row>
    <row r="25" spans="1:1" x14ac:dyDescent="0.2">
      <c r="A25" s="41" t="s">
        <v>274</v>
      </c>
    </row>
    <row r="26" spans="1:1" x14ac:dyDescent="0.2">
      <c r="A26" s="41"/>
    </row>
    <row r="27" spans="1:1" x14ac:dyDescent="0.2">
      <c r="A27" s="41" t="s">
        <v>1059</v>
      </c>
    </row>
    <row r="28" spans="1:1" x14ac:dyDescent="0.2">
      <c r="A28" s="41" t="s">
        <v>1060</v>
      </c>
    </row>
    <row r="29" spans="1:1" x14ac:dyDescent="0.2">
      <c r="A29" s="42" t="s">
        <v>238</v>
      </c>
    </row>
    <row r="30" spans="1:1" x14ac:dyDescent="0.2">
      <c r="A30" s="42" t="s">
        <v>239</v>
      </c>
    </row>
    <row r="31" spans="1:1" x14ac:dyDescent="0.2">
      <c r="A31" s="42" t="s">
        <v>1399</v>
      </c>
    </row>
    <row r="32" spans="1:1" x14ac:dyDescent="0.2">
      <c r="A32" s="42" t="s">
        <v>1066</v>
      </c>
    </row>
    <row r="33" spans="1:1" x14ac:dyDescent="0.2">
      <c r="A33" s="42" t="s">
        <v>1400</v>
      </c>
    </row>
    <row r="34" spans="1:1" x14ac:dyDescent="0.2">
      <c r="A34" s="42" t="s">
        <v>938</v>
      </c>
    </row>
    <row r="35" spans="1:1" x14ac:dyDescent="0.2">
      <c r="A35" s="42" t="s">
        <v>940</v>
      </c>
    </row>
    <row r="36" spans="1:1" x14ac:dyDescent="0.2">
      <c r="A36" s="42" t="s">
        <v>952</v>
      </c>
    </row>
    <row r="37" spans="1:1" x14ac:dyDescent="0.2">
      <c r="A37" s="42" t="s">
        <v>242</v>
      </c>
    </row>
    <row r="38" spans="1:1" x14ac:dyDescent="0.2">
      <c r="A38" s="42" t="s">
        <v>953</v>
      </c>
    </row>
    <row r="39" spans="1:1" x14ac:dyDescent="0.2">
      <c r="A39" s="42" t="s">
        <v>273</v>
      </c>
    </row>
    <row r="40" spans="1:1" x14ac:dyDescent="0.2">
      <c r="A40" s="41" t="s">
        <v>274</v>
      </c>
    </row>
    <row r="41" spans="1:1" x14ac:dyDescent="0.2">
      <c r="A41" s="41"/>
    </row>
    <row r="42" spans="1:1" x14ac:dyDescent="0.2">
      <c r="A42" s="41" t="s">
        <v>1073</v>
      </c>
    </row>
    <row r="43" spans="1:1" x14ac:dyDescent="0.2">
      <c r="A43" s="41" t="s">
        <v>1074</v>
      </c>
    </row>
    <row r="44" spans="1:1" x14ac:dyDescent="0.2">
      <c r="A44" s="42" t="s">
        <v>238</v>
      </c>
    </row>
    <row r="45" spans="1:1" x14ac:dyDescent="0.2">
      <c r="A45" s="42" t="s">
        <v>941</v>
      </c>
    </row>
    <row r="46" spans="1:1" x14ac:dyDescent="0.2">
      <c r="A46" s="42" t="s">
        <v>942</v>
      </c>
    </row>
    <row r="47" spans="1:1" x14ac:dyDescent="0.2">
      <c r="A47" s="42" t="s">
        <v>1161</v>
      </c>
    </row>
    <row r="48" spans="1:1" x14ac:dyDescent="0.2">
      <c r="A48" s="42" t="s">
        <v>947</v>
      </c>
    </row>
    <row r="49" spans="1:1" x14ac:dyDescent="0.2">
      <c r="A49" s="42" t="s">
        <v>948</v>
      </c>
    </row>
    <row r="50" spans="1:1" x14ac:dyDescent="0.2">
      <c r="A50" s="42" t="s">
        <v>1132</v>
      </c>
    </row>
    <row r="51" spans="1:1" x14ac:dyDescent="0.2">
      <c r="A51" s="42" t="s">
        <v>949</v>
      </c>
    </row>
    <row r="52" spans="1:1" x14ac:dyDescent="0.2">
      <c r="A52" s="42" t="s">
        <v>943</v>
      </c>
    </row>
    <row r="53" spans="1:1" x14ac:dyDescent="0.2">
      <c r="A53" s="42" t="s">
        <v>960</v>
      </c>
    </row>
    <row r="54" spans="1:1" x14ac:dyDescent="0.2">
      <c r="A54" s="42" t="s">
        <v>953</v>
      </c>
    </row>
    <row r="55" spans="1:1" x14ac:dyDescent="0.2">
      <c r="A55" s="42" t="s">
        <v>273</v>
      </c>
    </row>
    <row r="56" spans="1:1" x14ac:dyDescent="0.2">
      <c r="A56" s="41" t="s">
        <v>274</v>
      </c>
    </row>
    <row r="57" spans="1:1" x14ac:dyDescent="0.2">
      <c r="A57" s="41"/>
    </row>
    <row r="58" spans="1:1" x14ac:dyDescent="0.2">
      <c r="A58" s="41" t="s">
        <v>1085</v>
      </c>
    </row>
    <row r="59" spans="1:1" x14ac:dyDescent="0.2">
      <c r="A59" s="41" t="s">
        <v>1086</v>
      </c>
    </row>
    <row r="60" spans="1:1" x14ac:dyDescent="0.2">
      <c r="A60" s="42" t="s">
        <v>238</v>
      </c>
    </row>
    <row r="61" spans="1:1" x14ac:dyDescent="0.2">
      <c r="A61" s="42" t="s">
        <v>941</v>
      </c>
    </row>
    <row r="62" spans="1:1" x14ac:dyDescent="0.2">
      <c r="A62" s="42" t="s">
        <v>781</v>
      </c>
    </row>
    <row r="63" spans="1:1" x14ac:dyDescent="0.2">
      <c r="A63" s="42" t="s">
        <v>961</v>
      </c>
    </row>
    <row r="64" spans="1:1" x14ac:dyDescent="0.2">
      <c r="A64" s="42" t="s">
        <v>949</v>
      </c>
    </row>
    <row r="65" spans="1:1" x14ac:dyDescent="0.2">
      <c r="A65" s="42" t="s">
        <v>960</v>
      </c>
    </row>
    <row r="66" spans="1:1" x14ac:dyDescent="0.2">
      <c r="A66" s="42" t="s">
        <v>953</v>
      </c>
    </row>
    <row r="67" spans="1:1" x14ac:dyDescent="0.2">
      <c r="A67" s="42" t="s">
        <v>273</v>
      </c>
    </row>
    <row r="68" spans="1:1" x14ac:dyDescent="0.2">
      <c r="A68" s="41" t="s">
        <v>274</v>
      </c>
    </row>
    <row r="69" spans="1:1" x14ac:dyDescent="0.2">
      <c r="A69" s="41"/>
    </row>
    <row r="70" spans="1:1" x14ac:dyDescent="0.2">
      <c r="A70" s="41" t="s">
        <v>1170</v>
      </c>
    </row>
    <row r="71" spans="1:1" x14ac:dyDescent="0.2">
      <c r="A71" s="41" t="s">
        <v>1171</v>
      </c>
    </row>
    <row r="72" spans="1:1" x14ac:dyDescent="0.2">
      <c r="A72" s="42" t="s">
        <v>238</v>
      </c>
    </row>
    <row r="73" spans="1:1" x14ac:dyDescent="0.2">
      <c r="A73" s="42" t="s">
        <v>239</v>
      </c>
    </row>
    <row r="74" spans="1:1" x14ac:dyDescent="0.2">
      <c r="A74" s="42" t="s">
        <v>969</v>
      </c>
    </row>
    <row r="75" spans="1:1" x14ac:dyDescent="0.2">
      <c r="A75" s="42" t="s">
        <v>273</v>
      </c>
    </row>
    <row r="76" spans="1:1" x14ac:dyDescent="0.2">
      <c r="A76" s="41" t="s">
        <v>274</v>
      </c>
    </row>
    <row r="77" spans="1:1" x14ac:dyDescent="0.2">
      <c r="A77" s="41"/>
    </row>
    <row r="78" spans="1:1" x14ac:dyDescent="0.2">
      <c r="A78" s="41" t="s">
        <v>1172</v>
      </c>
    </row>
    <row r="79" spans="1:1" x14ac:dyDescent="0.2">
      <c r="A79" s="41" t="s">
        <v>1173</v>
      </c>
    </row>
    <row r="80" spans="1:1" x14ac:dyDescent="0.2">
      <c r="A80" s="42" t="s">
        <v>238</v>
      </c>
    </row>
    <row r="81" spans="1:1" x14ac:dyDescent="0.2">
      <c r="A81" s="42" t="s">
        <v>239</v>
      </c>
    </row>
    <row r="82" spans="1:1" x14ac:dyDescent="0.2">
      <c r="A82" s="42" t="s">
        <v>240</v>
      </c>
    </row>
    <row r="83" spans="1:1" x14ac:dyDescent="0.2">
      <c r="A83" s="42" t="s">
        <v>273</v>
      </c>
    </row>
    <row r="84" spans="1:1" x14ac:dyDescent="0.2">
      <c r="A84" s="41" t="s">
        <v>274</v>
      </c>
    </row>
    <row r="85" spans="1:1" x14ac:dyDescent="0.2">
      <c r="A85" s="41"/>
    </row>
    <row r="86" spans="1:1" x14ac:dyDescent="0.2">
      <c r="A86" s="41" t="s">
        <v>1174</v>
      </c>
    </row>
    <row r="87" spans="1:1" x14ac:dyDescent="0.2">
      <c r="A87" s="41" t="s">
        <v>1175</v>
      </c>
    </row>
    <row r="88" spans="1:1" x14ac:dyDescent="0.2">
      <c r="A88" s="42" t="s">
        <v>238</v>
      </c>
    </row>
    <row r="89" spans="1:1" x14ac:dyDescent="0.2">
      <c r="A89" s="42" t="s">
        <v>239</v>
      </c>
    </row>
    <row r="90" spans="1:1" x14ac:dyDescent="0.2">
      <c r="A90" s="42" t="s">
        <v>240</v>
      </c>
    </row>
    <row r="91" spans="1:1" x14ac:dyDescent="0.2">
      <c r="A91" s="42" t="s">
        <v>273</v>
      </c>
    </row>
    <row r="92" spans="1:1" x14ac:dyDescent="0.2">
      <c r="A92" s="41" t="s">
        <v>274</v>
      </c>
    </row>
    <row r="93" spans="1:1" x14ac:dyDescent="0.2">
      <c r="A93" s="41"/>
    </row>
    <row r="94" spans="1:1" x14ac:dyDescent="0.2">
      <c r="A94" s="41" t="s">
        <v>1179</v>
      </c>
    </row>
    <row r="95" spans="1:1" x14ac:dyDescent="0.2">
      <c r="A95" s="41" t="s">
        <v>1180</v>
      </c>
    </row>
    <row r="96" spans="1:1" x14ac:dyDescent="0.2">
      <c r="A96" s="42" t="s">
        <v>238</v>
      </c>
    </row>
    <row r="97" spans="1:1" x14ac:dyDescent="0.2">
      <c r="A97" s="42" t="s">
        <v>239</v>
      </c>
    </row>
    <row r="98" spans="1:1" x14ac:dyDescent="0.2">
      <c r="A98" s="42" t="s">
        <v>1401</v>
      </c>
    </row>
    <row r="99" spans="1:1" x14ac:dyDescent="0.2">
      <c r="A99" s="42" t="s">
        <v>1402</v>
      </c>
    </row>
    <row r="100" spans="1:1" x14ac:dyDescent="0.2">
      <c r="A100" s="42" t="s">
        <v>1105</v>
      </c>
    </row>
    <row r="101" spans="1:1" x14ac:dyDescent="0.2">
      <c r="A101" s="42" t="s">
        <v>940</v>
      </c>
    </row>
    <row r="102" spans="1:1" x14ac:dyDescent="0.2">
      <c r="A102" s="42" t="s">
        <v>1181</v>
      </c>
    </row>
    <row r="103" spans="1:1" x14ac:dyDescent="0.2">
      <c r="A103" s="42" t="s">
        <v>1182</v>
      </c>
    </row>
    <row r="104" spans="1:1" x14ac:dyDescent="0.2">
      <c r="A104" s="42" t="s">
        <v>1183</v>
      </c>
    </row>
    <row r="105" spans="1:1" x14ac:dyDescent="0.2">
      <c r="A105" s="42" t="s">
        <v>1185</v>
      </c>
    </row>
    <row r="106" spans="1:1" x14ac:dyDescent="0.2">
      <c r="A106" s="42" t="s">
        <v>242</v>
      </c>
    </row>
    <row r="107" spans="1:1" x14ac:dyDescent="0.2">
      <c r="A107" s="42" t="s">
        <v>953</v>
      </c>
    </row>
    <row r="108" spans="1:1" x14ac:dyDescent="0.2">
      <c r="A108" s="42" t="s">
        <v>273</v>
      </c>
    </row>
    <row r="109" spans="1:1" x14ac:dyDescent="0.2">
      <c r="A109" s="41" t="s">
        <v>274</v>
      </c>
    </row>
    <row r="110" spans="1:1" x14ac:dyDescent="0.2">
      <c r="A110" s="41"/>
    </row>
    <row r="111" spans="1:1" x14ac:dyDescent="0.2">
      <c r="A111" s="41" t="s">
        <v>1188</v>
      </c>
    </row>
    <row r="112" spans="1:1" x14ac:dyDescent="0.2">
      <c r="A112" s="41" t="s">
        <v>1189</v>
      </c>
    </row>
    <row r="113" spans="1:1" x14ac:dyDescent="0.2">
      <c r="A113" s="42" t="s">
        <v>238</v>
      </c>
    </row>
    <row r="114" spans="1:1" x14ac:dyDescent="0.2">
      <c r="A114" s="42" t="s">
        <v>1191</v>
      </c>
    </row>
    <row r="115" spans="1:1" x14ac:dyDescent="0.2">
      <c r="A115" s="42" t="s">
        <v>1192</v>
      </c>
    </row>
    <row r="116" spans="1:1" x14ac:dyDescent="0.2">
      <c r="A116" s="42" t="s">
        <v>1193</v>
      </c>
    </row>
    <row r="117" spans="1:1" x14ac:dyDescent="0.2">
      <c r="A117" s="42" t="s">
        <v>1194</v>
      </c>
    </row>
    <row r="118" spans="1:1" x14ac:dyDescent="0.2">
      <c r="A118" s="42" t="s">
        <v>1161</v>
      </c>
    </row>
    <row r="119" spans="1:1" x14ac:dyDescent="0.2">
      <c r="A119" s="42" t="s">
        <v>947</v>
      </c>
    </row>
    <row r="120" spans="1:1" x14ac:dyDescent="0.2">
      <c r="A120" s="42" t="s">
        <v>948</v>
      </c>
    </row>
    <row r="121" spans="1:1" x14ac:dyDescent="0.2">
      <c r="A121" s="42" t="s">
        <v>1200</v>
      </c>
    </row>
    <row r="122" spans="1:1" x14ac:dyDescent="0.2">
      <c r="A122" s="42" t="s">
        <v>949</v>
      </c>
    </row>
    <row r="123" spans="1:1" x14ac:dyDescent="0.2">
      <c r="A123" s="42" t="s">
        <v>943</v>
      </c>
    </row>
    <row r="124" spans="1:1" x14ac:dyDescent="0.2">
      <c r="A124" s="42" t="s">
        <v>960</v>
      </c>
    </row>
    <row r="125" spans="1:1" x14ac:dyDescent="0.2">
      <c r="A125" s="42" t="s">
        <v>953</v>
      </c>
    </row>
    <row r="126" spans="1:1" x14ac:dyDescent="0.2">
      <c r="A126" s="42" t="s">
        <v>273</v>
      </c>
    </row>
    <row r="127" spans="1:1" x14ac:dyDescent="0.2">
      <c r="A127" s="41" t="s">
        <v>274</v>
      </c>
    </row>
    <row r="128" spans="1:1" x14ac:dyDescent="0.2">
      <c r="A128" s="41"/>
    </row>
    <row r="129" spans="1:1" x14ac:dyDescent="0.2">
      <c r="A129" s="41" t="s">
        <v>1087</v>
      </c>
    </row>
    <row r="130" spans="1:1" x14ac:dyDescent="0.2">
      <c r="A130" s="41" t="s">
        <v>1088</v>
      </c>
    </row>
    <row r="131" spans="1:1" x14ac:dyDescent="0.2">
      <c r="A131" s="42" t="s">
        <v>238</v>
      </c>
    </row>
    <row r="132" spans="1:1" x14ac:dyDescent="0.2">
      <c r="A132" s="42" t="s">
        <v>239</v>
      </c>
    </row>
    <row r="133" spans="1:1" x14ac:dyDescent="0.2">
      <c r="A133" s="42" t="s">
        <v>244</v>
      </c>
    </row>
    <row r="134" spans="1:1" x14ac:dyDescent="0.2">
      <c r="A134" s="42" t="s">
        <v>959</v>
      </c>
    </row>
    <row r="135" spans="1:1" x14ac:dyDescent="0.2">
      <c r="A135" s="42" t="s">
        <v>246</v>
      </c>
    </row>
    <row r="136" spans="1:1" x14ac:dyDescent="0.2">
      <c r="A136" s="42" t="s">
        <v>1398</v>
      </c>
    </row>
    <row r="137" spans="1:1" x14ac:dyDescent="0.2">
      <c r="A137" s="42" t="s">
        <v>273</v>
      </c>
    </row>
    <row r="138" spans="1:1" x14ac:dyDescent="0.2">
      <c r="A138" s="41" t="s">
        <v>274</v>
      </c>
    </row>
    <row r="139" spans="1:1" x14ac:dyDescent="0.2">
      <c r="A139" s="41"/>
    </row>
    <row r="140" spans="1:1" x14ac:dyDescent="0.2">
      <c r="A140" s="41" t="s">
        <v>1097</v>
      </c>
    </row>
    <row r="141" spans="1:1" x14ac:dyDescent="0.2">
      <c r="A141" s="41" t="s">
        <v>1098</v>
      </c>
    </row>
    <row r="142" spans="1:1" x14ac:dyDescent="0.2">
      <c r="A142" s="42" t="s">
        <v>238</v>
      </c>
    </row>
    <row r="143" spans="1:1" x14ac:dyDescent="0.2">
      <c r="A143" s="42" t="s">
        <v>968</v>
      </c>
    </row>
    <row r="144" spans="1:1" x14ac:dyDescent="0.2">
      <c r="A144" s="42" t="s">
        <v>961</v>
      </c>
    </row>
    <row r="145" spans="1:1" x14ac:dyDescent="0.2">
      <c r="A145" s="42" t="s">
        <v>949</v>
      </c>
    </row>
    <row r="146" spans="1:1" x14ac:dyDescent="0.2">
      <c r="A146" s="42" t="s">
        <v>1100</v>
      </c>
    </row>
    <row r="147" spans="1:1" x14ac:dyDescent="0.2">
      <c r="A147" s="42" t="s">
        <v>960</v>
      </c>
    </row>
    <row r="148" spans="1:1" x14ac:dyDescent="0.2">
      <c r="A148" s="42" t="s">
        <v>953</v>
      </c>
    </row>
    <row r="149" spans="1:1" x14ac:dyDescent="0.2">
      <c r="A149" s="42" t="s">
        <v>273</v>
      </c>
    </row>
    <row r="150" spans="1:1" x14ac:dyDescent="0.2">
      <c r="A150" s="41" t="s">
        <v>274</v>
      </c>
    </row>
    <row r="151" spans="1:1" x14ac:dyDescent="0.2">
      <c r="A151" s="41"/>
    </row>
    <row r="152" spans="1:1" x14ac:dyDescent="0.2">
      <c r="A152" s="41" t="s">
        <v>1101</v>
      </c>
    </row>
    <row r="153" spans="1:1" x14ac:dyDescent="0.2">
      <c r="A153" s="41" t="s">
        <v>1102</v>
      </c>
    </row>
    <row r="154" spans="1:1" x14ac:dyDescent="0.2">
      <c r="A154" s="42" t="s">
        <v>238</v>
      </c>
    </row>
    <row r="155" spans="1:1" x14ac:dyDescent="0.2">
      <c r="A155" s="42" t="s">
        <v>239</v>
      </c>
    </row>
    <row r="156" spans="1:1" x14ac:dyDescent="0.2">
      <c r="A156" s="42" t="s">
        <v>974</v>
      </c>
    </row>
    <row r="157" spans="1:1" x14ac:dyDescent="0.2">
      <c r="A157" s="42" t="s">
        <v>1404</v>
      </c>
    </row>
    <row r="158" spans="1:1" x14ac:dyDescent="0.2">
      <c r="A158" s="42" t="s">
        <v>1405</v>
      </c>
    </row>
    <row r="159" spans="1:1" x14ac:dyDescent="0.2">
      <c r="A159" s="42" t="s">
        <v>1406</v>
      </c>
    </row>
    <row r="160" spans="1:1" x14ac:dyDescent="0.2">
      <c r="A160" s="42" t="s">
        <v>1407</v>
      </c>
    </row>
    <row r="161" spans="1:1" x14ac:dyDescent="0.2">
      <c r="A161" s="42" t="s">
        <v>1408</v>
      </c>
    </row>
    <row r="162" spans="1:1" x14ac:dyDescent="0.2">
      <c r="A162" s="42" t="s">
        <v>1409</v>
      </c>
    </row>
    <row r="163" spans="1:1" x14ac:dyDescent="0.2">
      <c r="A163" s="42" t="s">
        <v>273</v>
      </c>
    </row>
    <row r="164" spans="1:1" x14ac:dyDescent="0.2">
      <c r="A164" s="41" t="s">
        <v>274</v>
      </c>
    </row>
    <row r="165" spans="1:1" x14ac:dyDescent="0.2">
      <c r="A165" s="41"/>
    </row>
    <row r="166" spans="1:1" x14ac:dyDescent="0.2">
      <c r="A166" s="41" t="s">
        <v>1103</v>
      </c>
    </row>
    <row r="167" spans="1:1" x14ac:dyDescent="0.2">
      <c r="A167" s="41" t="s">
        <v>1104</v>
      </c>
    </row>
    <row r="168" spans="1:1" x14ac:dyDescent="0.2">
      <c r="A168" s="42" t="s">
        <v>238</v>
      </c>
    </row>
    <row r="169" spans="1:1" x14ac:dyDescent="0.2">
      <c r="A169" s="42" t="s">
        <v>239</v>
      </c>
    </row>
    <row r="170" spans="1:1" x14ac:dyDescent="0.2">
      <c r="A170" s="42" t="s">
        <v>257</v>
      </c>
    </row>
    <row r="171" spans="1:1" x14ac:dyDescent="0.2">
      <c r="A171" s="42" t="s">
        <v>1105</v>
      </c>
    </row>
    <row r="172" spans="1:1" x14ac:dyDescent="0.2">
      <c r="A172" s="42" t="s">
        <v>273</v>
      </c>
    </row>
    <row r="173" spans="1:1" x14ac:dyDescent="0.2">
      <c r="A173" s="41" t="s">
        <v>274</v>
      </c>
    </row>
    <row r="174" spans="1:1" x14ac:dyDescent="0.2">
      <c r="A174" s="41"/>
    </row>
    <row r="175" spans="1:1" x14ac:dyDescent="0.2">
      <c r="A175" s="41" t="s">
        <v>1106</v>
      </c>
    </row>
    <row r="176" spans="1:1" x14ac:dyDescent="0.2">
      <c r="A176" s="41" t="s">
        <v>1107</v>
      </c>
    </row>
    <row r="177" spans="1:1" x14ac:dyDescent="0.2">
      <c r="A177" s="42" t="s">
        <v>238</v>
      </c>
    </row>
    <row r="178" spans="1:1" x14ac:dyDescent="0.2">
      <c r="A178" s="42" t="s">
        <v>1109</v>
      </c>
    </row>
    <row r="179" spans="1:1" x14ac:dyDescent="0.2">
      <c r="A179" s="42" t="s">
        <v>239</v>
      </c>
    </row>
    <row r="180" spans="1:1" x14ac:dyDescent="0.2">
      <c r="A180" s="42" t="s">
        <v>1410</v>
      </c>
    </row>
    <row r="181" spans="1:1" x14ac:dyDescent="0.2">
      <c r="A181" s="42" t="s">
        <v>969</v>
      </c>
    </row>
    <row r="182" spans="1:1" x14ac:dyDescent="0.2">
      <c r="A182" s="42" t="s">
        <v>974</v>
      </c>
    </row>
    <row r="183" spans="1:1" x14ac:dyDescent="0.2">
      <c r="A183" s="42" t="s">
        <v>273</v>
      </c>
    </row>
    <row r="184" spans="1:1" x14ac:dyDescent="0.2">
      <c r="A184" s="41" t="s">
        <v>274</v>
      </c>
    </row>
    <row r="185" spans="1:1" x14ac:dyDescent="0.2">
      <c r="A185" s="41"/>
    </row>
    <row r="186" spans="1:1" x14ac:dyDescent="0.2">
      <c r="A186" s="41" t="s">
        <v>1110</v>
      </c>
    </row>
    <row r="187" spans="1:1" x14ac:dyDescent="0.2">
      <c r="A187" s="41" t="s">
        <v>1111</v>
      </c>
    </row>
    <row r="188" spans="1:1" x14ac:dyDescent="0.2">
      <c r="A188" s="42" t="s">
        <v>238</v>
      </c>
    </row>
    <row r="189" spans="1:1" x14ac:dyDescent="0.2">
      <c r="A189" s="42" t="s">
        <v>239</v>
      </c>
    </row>
    <row r="190" spans="1:1" x14ac:dyDescent="0.2">
      <c r="A190" s="42" t="s">
        <v>1112</v>
      </c>
    </row>
    <row r="191" spans="1:1" x14ac:dyDescent="0.2">
      <c r="A191" s="42" t="s">
        <v>1105</v>
      </c>
    </row>
    <row r="192" spans="1:1" x14ac:dyDescent="0.2">
      <c r="A192" s="42" t="s">
        <v>273</v>
      </c>
    </row>
    <row r="193" spans="1:1" x14ac:dyDescent="0.2">
      <c r="A193" s="41" t="s">
        <v>274</v>
      </c>
    </row>
    <row r="194" spans="1:1" x14ac:dyDescent="0.2">
      <c r="A194" s="41"/>
    </row>
    <row r="195" spans="1:1" x14ac:dyDescent="0.2">
      <c r="A195" s="41" t="s">
        <v>1113</v>
      </c>
    </row>
    <row r="196" spans="1:1" x14ac:dyDescent="0.2">
      <c r="A196" s="41" t="s">
        <v>1114</v>
      </c>
    </row>
    <row r="197" spans="1:1" x14ac:dyDescent="0.2">
      <c r="A197" s="42" t="s">
        <v>238</v>
      </c>
    </row>
    <row r="198" spans="1:1" x14ac:dyDescent="0.2">
      <c r="A198" s="42" t="s">
        <v>239</v>
      </c>
    </row>
    <row r="199" spans="1:1" x14ac:dyDescent="0.2">
      <c r="A199" s="42" t="s">
        <v>240</v>
      </c>
    </row>
    <row r="200" spans="1:1" x14ac:dyDescent="0.2">
      <c r="A200" s="42" t="s">
        <v>273</v>
      </c>
    </row>
    <row r="201" spans="1:1" x14ac:dyDescent="0.2">
      <c r="A201" s="41" t="s">
        <v>274</v>
      </c>
    </row>
    <row r="202" spans="1:1" x14ac:dyDescent="0.2">
      <c r="A202" s="41"/>
    </row>
    <row r="203" spans="1:1" x14ac:dyDescent="0.2">
      <c r="A203" s="41" t="s">
        <v>1133</v>
      </c>
    </row>
    <row r="204" spans="1:1" x14ac:dyDescent="0.2">
      <c r="A204" s="41" t="s">
        <v>1134</v>
      </c>
    </row>
    <row r="205" spans="1:1" x14ac:dyDescent="0.2">
      <c r="A205" s="42" t="s">
        <v>238</v>
      </c>
    </row>
    <row r="206" spans="1:1" x14ac:dyDescent="0.2">
      <c r="A206" s="42" t="s">
        <v>239</v>
      </c>
    </row>
    <row r="207" spans="1:1" x14ac:dyDescent="0.2">
      <c r="A207" s="42" t="s">
        <v>240</v>
      </c>
    </row>
    <row r="208" spans="1:1" x14ac:dyDescent="0.2">
      <c r="A208" s="42" t="s">
        <v>273</v>
      </c>
    </row>
    <row r="209" spans="1:1" x14ac:dyDescent="0.2">
      <c r="A209" s="41" t="s">
        <v>274</v>
      </c>
    </row>
    <row r="210" spans="1:1" x14ac:dyDescent="0.2">
      <c r="A210" s="41"/>
    </row>
    <row r="211" spans="1:1" x14ac:dyDescent="0.2">
      <c r="A211" s="41" t="s">
        <v>1135</v>
      </c>
    </row>
    <row r="212" spans="1:1" x14ac:dyDescent="0.2">
      <c r="A212" s="41" t="s">
        <v>1136</v>
      </c>
    </row>
    <row r="213" spans="1:1" x14ac:dyDescent="0.2">
      <c r="A213" s="42" t="s">
        <v>238</v>
      </c>
    </row>
    <row r="214" spans="1:1" x14ac:dyDescent="0.2">
      <c r="A214" s="42" t="s">
        <v>1411</v>
      </c>
    </row>
    <row r="215" spans="1:1" x14ac:dyDescent="0.2">
      <c r="A215" s="42" t="s">
        <v>1137</v>
      </c>
    </row>
    <row r="216" spans="1:1" x14ac:dyDescent="0.2">
      <c r="A216" s="42" t="s">
        <v>1138</v>
      </c>
    </row>
    <row r="217" spans="1:1" x14ac:dyDescent="0.2">
      <c r="A217" s="42" t="s">
        <v>242</v>
      </c>
    </row>
    <row r="218" spans="1:1" x14ac:dyDescent="0.2">
      <c r="A218" s="42" t="s">
        <v>273</v>
      </c>
    </row>
    <row r="219" spans="1:1" x14ac:dyDescent="0.2">
      <c r="A219" s="41" t="s">
        <v>274</v>
      </c>
    </row>
    <row r="220" spans="1:1" x14ac:dyDescent="0.2">
      <c r="A220" s="41"/>
    </row>
    <row r="221" spans="1:1" x14ac:dyDescent="0.2">
      <c r="A221" s="41" t="s">
        <v>1115</v>
      </c>
    </row>
    <row r="222" spans="1:1" x14ac:dyDescent="0.2">
      <c r="A222" s="41" t="s">
        <v>1116</v>
      </c>
    </row>
    <row r="223" spans="1:1" x14ac:dyDescent="0.2">
      <c r="A223" s="42" t="s">
        <v>238</v>
      </c>
    </row>
    <row r="224" spans="1:1" x14ac:dyDescent="0.2">
      <c r="A224" s="42" t="s">
        <v>1118</v>
      </c>
    </row>
    <row r="225" spans="1:1" x14ac:dyDescent="0.2">
      <c r="A225" s="42" t="s">
        <v>781</v>
      </c>
    </row>
    <row r="226" spans="1:1" x14ac:dyDescent="0.2">
      <c r="A226" s="42" t="s">
        <v>970</v>
      </c>
    </row>
    <row r="227" spans="1:1" x14ac:dyDescent="0.2">
      <c r="A227" s="42" t="s">
        <v>971</v>
      </c>
    </row>
    <row r="228" spans="1:1" x14ac:dyDescent="0.2">
      <c r="A228" s="42" t="s">
        <v>949</v>
      </c>
    </row>
    <row r="229" spans="1:1" x14ac:dyDescent="0.2">
      <c r="A229" s="42" t="s">
        <v>972</v>
      </c>
    </row>
    <row r="230" spans="1:1" x14ac:dyDescent="0.2">
      <c r="A230" s="42" t="s">
        <v>1412</v>
      </c>
    </row>
    <row r="231" spans="1:1" x14ac:dyDescent="0.2">
      <c r="A231" s="42" t="s">
        <v>1139</v>
      </c>
    </row>
    <row r="232" spans="1:1" x14ac:dyDescent="0.2">
      <c r="A232" s="42" t="s">
        <v>242</v>
      </c>
    </row>
    <row r="233" spans="1:1" x14ac:dyDescent="0.2">
      <c r="A233" s="42" t="s">
        <v>953</v>
      </c>
    </row>
    <row r="234" spans="1:1" x14ac:dyDescent="0.2">
      <c r="A234" s="42" t="s">
        <v>273</v>
      </c>
    </row>
    <row r="235" spans="1:1" x14ac:dyDescent="0.2">
      <c r="A235" s="41" t="s">
        <v>274</v>
      </c>
    </row>
    <row r="236" spans="1:1" x14ac:dyDescent="0.2">
      <c r="A236" s="41"/>
    </row>
    <row r="237" spans="1:1" x14ac:dyDescent="0.2">
      <c r="A237" s="41" t="s">
        <v>1281</v>
      </c>
    </row>
    <row r="238" spans="1:1" x14ac:dyDescent="0.2">
      <c r="A238" s="41" t="s">
        <v>1282</v>
      </c>
    </row>
    <row r="239" spans="1:1" x14ac:dyDescent="0.2">
      <c r="A239" s="42" t="s">
        <v>238</v>
      </c>
    </row>
    <row r="240" spans="1:1" x14ac:dyDescent="0.2">
      <c r="A240" s="42" t="s">
        <v>239</v>
      </c>
    </row>
    <row r="241" spans="1:1" x14ac:dyDescent="0.2">
      <c r="A241" s="42" t="s">
        <v>972</v>
      </c>
    </row>
    <row r="242" spans="1:1" x14ac:dyDescent="0.2">
      <c r="A242" s="42" t="s">
        <v>242</v>
      </c>
    </row>
    <row r="243" spans="1:1" x14ac:dyDescent="0.2">
      <c r="A243" s="42" t="s">
        <v>273</v>
      </c>
    </row>
    <row r="244" spans="1:1" x14ac:dyDescent="0.2">
      <c r="A244" s="41" t="s">
        <v>274</v>
      </c>
    </row>
    <row r="245" spans="1:1" x14ac:dyDescent="0.2">
      <c r="A245" s="41"/>
    </row>
    <row r="246" spans="1:1" x14ac:dyDescent="0.2">
      <c r="A246" s="41" t="s">
        <v>1289</v>
      </c>
    </row>
    <row r="247" spans="1:1" x14ac:dyDescent="0.2">
      <c r="A247" s="41" t="s">
        <v>1290</v>
      </c>
    </row>
    <row r="248" spans="1:1" x14ac:dyDescent="0.2">
      <c r="A248" s="42" t="s">
        <v>238</v>
      </c>
    </row>
    <row r="249" spans="1:1" x14ac:dyDescent="0.2">
      <c r="A249" s="42" t="s">
        <v>1293</v>
      </c>
    </row>
    <row r="250" spans="1:1" x14ac:dyDescent="0.2">
      <c r="A250" s="42" t="s">
        <v>239</v>
      </c>
    </row>
    <row r="251" spans="1:1" x14ac:dyDescent="0.2">
      <c r="A251" s="42" t="s">
        <v>1398</v>
      </c>
    </row>
    <row r="252" spans="1:1" x14ac:dyDescent="0.2">
      <c r="A252" s="42" t="s">
        <v>273</v>
      </c>
    </row>
    <row r="253" spans="1:1" x14ac:dyDescent="0.2">
      <c r="A253" s="41" t="s">
        <v>274</v>
      </c>
    </row>
    <row r="254" spans="1:1" x14ac:dyDescent="0.2">
      <c r="A254" s="41"/>
    </row>
    <row r="255" spans="1:1" x14ac:dyDescent="0.2">
      <c r="A255" s="41" t="s">
        <v>1296</v>
      </c>
    </row>
    <row r="256" spans="1:1" x14ac:dyDescent="0.2">
      <c r="A256" s="41" t="s">
        <v>1297</v>
      </c>
    </row>
    <row r="257" spans="1:1" x14ac:dyDescent="0.2">
      <c r="A257" s="42" t="s">
        <v>238</v>
      </c>
    </row>
    <row r="258" spans="1:1" x14ac:dyDescent="0.2">
      <c r="A258" s="42" t="s">
        <v>239</v>
      </c>
    </row>
    <row r="259" spans="1:1" x14ac:dyDescent="0.2">
      <c r="A259" s="42" t="s">
        <v>240</v>
      </c>
    </row>
    <row r="260" spans="1:1" x14ac:dyDescent="0.2">
      <c r="A260" s="42" t="s">
        <v>273</v>
      </c>
    </row>
    <row r="261" spans="1:1" x14ac:dyDescent="0.2">
      <c r="A261" s="41" t="s">
        <v>274</v>
      </c>
    </row>
    <row r="262" spans="1:1" x14ac:dyDescent="0.2">
      <c r="A262" s="41"/>
    </row>
    <row r="263" spans="1:1" x14ac:dyDescent="0.2">
      <c r="A263" s="41" t="s">
        <v>1301</v>
      </c>
    </row>
    <row r="264" spans="1:1" x14ac:dyDescent="0.2">
      <c r="A264" s="41" t="s">
        <v>1302</v>
      </c>
    </row>
    <row r="265" spans="1:1" x14ac:dyDescent="0.2">
      <c r="A265" s="42" t="s">
        <v>238</v>
      </c>
    </row>
    <row r="266" spans="1:1" x14ac:dyDescent="0.2">
      <c r="A266" s="42" t="s">
        <v>239</v>
      </c>
    </row>
    <row r="267" spans="1:1" x14ac:dyDescent="0.2">
      <c r="A267" s="42" t="s">
        <v>240</v>
      </c>
    </row>
    <row r="268" spans="1:1" x14ac:dyDescent="0.2">
      <c r="A268" s="42" t="s">
        <v>273</v>
      </c>
    </row>
    <row r="269" spans="1:1" x14ac:dyDescent="0.2">
      <c r="A269" s="41" t="s">
        <v>274</v>
      </c>
    </row>
    <row r="270" spans="1:1" x14ac:dyDescent="0.2">
      <c r="A270" s="41"/>
    </row>
    <row r="271" spans="1:1" x14ac:dyDescent="0.2">
      <c r="A271" s="41" t="s">
        <v>1306</v>
      </c>
    </row>
    <row r="272" spans="1:1" x14ac:dyDescent="0.2">
      <c r="A272" s="41" t="s">
        <v>1307</v>
      </c>
    </row>
    <row r="273" spans="1:1" x14ac:dyDescent="0.2">
      <c r="A273" s="42" t="s">
        <v>238</v>
      </c>
    </row>
    <row r="274" spans="1:1" x14ac:dyDescent="0.2">
      <c r="A274" s="42" t="s">
        <v>1347</v>
      </c>
    </row>
    <row r="275" spans="1:1" x14ac:dyDescent="0.2">
      <c r="A275" s="42" t="s">
        <v>1413</v>
      </c>
    </row>
    <row r="276" spans="1:1" x14ac:dyDescent="0.2">
      <c r="A276" s="42" t="s">
        <v>1314</v>
      </c>
    </row>
    <row r="277" spans="1:1" x14ac:dyDescent="0.2">
      <c r="A277" s="42" t="s">
        <v>1105</v>
      </c>
    </row>
    <row r="278" spans="1:1" x14ac:dyDescent="0.2">
      <c r="A278" s="42" t="s">
        <v>972</v>
      </c>
    </row>
    <row r="279" spans="1:1" x14ac:dyDescent="0.2">
      <c r="A279" s="42" t="s">
        <v>974</v>
      </c>
    </row>
    <row r="280" spans="1:1" x14ac:dyDescent="0.2">
      <c r="A280" s="42" t="s">
        <v>1414</v>
      </c>
    </row>
    <row r="281" spans="1:1" x14ac:dyDescent="0.2">
      <c r="A281" s="42" t="s">
        <v>242</v>
      </c>
    </row>
    <row r="282" spans="1:1" x14ac:dyDescent="0.2">
      <c r="A282" s="42" t="s">
        <v>953</v>
      </c>
    </row>
    <row r="283" spans="1:1" x14ac:dyDescent="0.2">
      <c r="A283" s="42" t="s">
        <v>273</v>
      </c>
    </row>
    <row r="284" spans="1:1" x14ac:dyDescent="0.2">
      <c r="A284" s="41" t="s">
        <v>274</v>
      </c>
    </row>
    <row r="285" spans="1:1" x14ac:dyDescent="0.2">
      <c r="A285" s="41"/>
    </row>
    <row r="286" spans="1:1" x14ac:dyDescent="0.2">
      <c r="A286" s="41" t="s">
        <v>1320</v>
      </c>
    </row>
    <row r="287" spans="1:1" x14ac:dyDescent="0.2">
      <c r="A287" s="41" t="s">
        <v>1321</v>
      </c>
    </row>
    <row r="288" spans="1:1" x14ac:dyDescent="0.2">
      <c r="A288" s="42" t="s">
        <v>238</v>
      </c>
    </row>
    <row r="289" spans="1:1" x14ac:dyDescent="0.2">
      <c r="A289" s="42" t="s">
        <v>1348</v>
      </c>
    </row>
    <row r="290" spans="1:1" x14ac:dyDescent="0.2">
      <c r="A290" s="42" t="s">
        <v>1347</v>
      </c>
    </row>
    <row r="291" spans="1:1" x14ac:dyDescent="0.2">
      <c r="A291" s="42" t="s">
        <v>949</v>
      </c>
    </row>
    <row r="292" spans="1:1" x14ac:dyDescent="0.2">
      <c r="A292" s="42" t="s">
        <v>972</v>
      </c>
    </row>
    <row r="293" spans="1:1" x14ac:dyDescent="0.2">
      <c r="A293" s="42" t="s">
        <v>273</v>
      </c>
    </row>
    <row r="294" spans="1:1" x14ac:dyDescent="0.2">
      <c r="A294" s="41" t="s">
        <v>274</v>
      </c>
    </row>
    <row r="295" spans="1:1" x14ac:dyDescent="0.2">
      <c r="A295" s="41"/>
    </row>
    <row r="296" spans="1:1" x14ac:dyDescent="0.2">
      <c r="A296" s="41" t="s">
        <v>1349</v>
      </c>
    </row>
    <row r="297" spans="1:1" x14ac:dyDescent="0.2">
      <c r="A297" s="41" t="s">
        <v>1350</v>
      </c>
    </row>
    <row r="298" spans="1:1" x14ac:dyDescent="0.2">
      <c r="A298" s="42" t="s">
        <v>238</v>
      </c>
    </row>
    <row r="299" spans="1:1" x14ac:dyDescent="0.2">
      <c r="A299" s="42" t="s">
        <v>239</v>
      </c>
    </row>
    <row r="300" spans="1:1" x14ac:dyDescent="0.2">
      <c r="A300" s="42" t="s">
        <v>972</v>
      </c>
    </row>
    <row r="301" spans="1:1" x14ac:dyDescent="0.2">
      <c r="A301" s="42" t="s">
        <v>1105</v>
      </c>
    </row>
    <row r="302" spans="1:1" x14ac:dyDescent="0.2">
      <c r="A302" s="42" t="s">
        <v>242</v>
      </c>
    </row>
    <row r="303" spans="1:1" x14ac:dyDescent="0.2">
      <c r="A303" s="42" t="s">
        <v>273</v>
      </c>
    </row>
    <row r="304" spans="1:1" x14ac:dyDescent="0.2">
      <c r="A304" s="41" t="s">
        <v>274</v>
      </c>
    </row>
    <row r="305" spans="1:1" x14ac:dyDescent="0.2">
      <c r="A305" s="41"/>
    </row>
    <row r="306" spans="1:1" x14ac:dyDescent="0.2">
      <c r="A306" s="41" t="s">
        <v>1356</v>
      </c>
    </row>
    <row r="307" spans="1:1" x14ac:dyDescent="0.2">
      <c r="A307" s="41" t="s">
        <v>1357</v>
      </c>
    </row>
    <row r="308" spans="1:1" x14ac:dyDescent="0.2">
      <c r="A308" s="42" t="s">
        <v>238</v>
      </c>
    </row>
    <row r="309" spans="1:1" x14ac:dyDescent="0.2">
      <c r="A309" s="42" t="s">
        <v>1314</v>
      </c>
    </row>
    <row r="310" spans="1:1" x14ac:dyDescent="0.2">
      <c r="A310" s="42" t="s">
        <v>1105</v>
      </c>
    </row>
    <row r="311" spans="1:1" x14ac:dyDescent="0.2">
      <c r="A311" s="42" t="s">
        <v>1415</v>
      </c>
    </row>
    <row r="312" spans="1:1" x14ac:dyDescent="0.2">
      <c r="A312" s="42" t="s">
        <v>974</v>
      </c>
    </row>
    <row r="313" spans="1:1" x14ac:dyDescent="0.2">
      <c r="A313" s="42" t="s">
        <v>242</v>
      </c>
    </row>
    <row r="314" spans="1:1" x14ac:dyDescent="0.2">
      <c r="A314" s="42" t="s">
        <v>953</v>
      </c>
    </row>
    <row r="315" spans="1:1" x14ac:dyDescent="0.2">
      <c r="A315" s="42" t="s">
        <v>273</v>
      </c>
    </row>
    <row r="316" spans="1:1" x14ac:dyDescent="0.2">
      <c r="A316" s="41" t="s">
        <v>274</v>
      </c>
    </row>
    <row r="317" spans="1:1" x14ac:dyDescent="0.2">
      <c r="A317" s="41"/>
    </row>
    <row r="318" spans="1:1" x14ac:dyDescent="0.2">
      <c r="A318" s="41" t="s">
        <v>1365</v>
      </c>
    </row>
    <row r="319" spans="1:1" x14ac:dyDescent="0.2">
      <c r="A319" s="41" t="s">
        <v>1366</v>
      </c>
    </row>
    <row r="320" spans="1:1" x14ac:dyDescent="0.2">
      <c r="A320" s="42" t="s">
        <v>238</v>
      </c>
    </row>
    <row r="321" spans="1:1" x14ac:dyDescent="0.2">
      <c r="A321" s="42" t="s">
        <v>1369</v>
      </c>
    </row>
    <row r="322" spans="1:1" x14ac:dyDescent="0.2">
      <c r="A322" s="42" t="s">
        <v>239</v>
      </c>
    </row>
    <row r="323" spans="1:1" x14ac:dyDescent="0.2">
      <c r="A323" s="42" t="s">
        <v>1398</v>
      </c>
    </row>
    <row r="324" spans="1:1" x14ac:dyDescent="0.2">
      <c r="A324" s="42" t="s">
        <v>273</v>
      </c>
    </row>
    <row r="325" spans="1:1" x14ac:dyDescent="0.2">
      <c r="A325" s="41" t="s">
        <v>274</v>
      </c>
    </row>
    <row r="326" spans="1:1" x14ac:dyDescent="0.2">
      <c r="A326" s="41"/>
    </row>
    <row r="327" spans="1:1" x14ac:dyDescent="0.2">
      <c r="A327" s="41" t="s">
        <v>1372</v>
      </c>
    </row>
    <row r="328" spans="1:1" x14ac:dyDescent="0.2">
      <c r="A328" s="41" t="s">
        <v>1373</v>
      </c>
    </row>
    <row r="329" spans="1:1" x14ac:dyDescent="0.2">
      <c r="A329" s="42" t="s">
        <v>238</v>
      </c>
    </row>
    <row r="330" spans="1:1" x14ac:dyDescent="0.2">
      <c r="A330" s="42" t="s">
        <v>1376</v>
      </c>
    </row>
    <row r="331" spans="1:1" x14ac:dyDescent="0.2">
      <c r="A331" s="42" t="s">
        <v>1416</v>
      </c>
    </row>
    <row r="332" spans="1:1" x14ac:dyDescent="0.2">
      <c r="A332" s="42" t="s">
        <v>1314</v>
      </c>
    </row>
    <row r="333" spans="1:1" x14ac:dyDescent="0.2">
      <c r="A333" s="42" t="s">
        <v>1417</v>
      </c>
    </row>
    <row r="334" spans="1:1" x14ac:dyDescent="0.2">
      <c r="A334" s="42" t="s">
        <v>972</v>
      </c>
    </row>
    <row r="335" spans="1:1" x14ac:dyDescent="0.2">
      <c r="A335" s="42" t="s">
        <v>273</v>
      </c>
    </row>
    <row r="336" spans="1:1" x14ac:dyDescent="0.2">
      <c r="A336" s="41" t="s">
        <v>274</v>
      </c>
    </row>
    <row r="337" spans="1:1" x14ac:dyDescent="0.2">
      <c r="A337" s="41"/>
    </row>
    <row r="338" spans="1:1" x14ac:dyDescent="0.2">
      <c r="A338" s="41" t="s">
        <v>1092</v>
      </c>
    </row>
    <row r="339" spans="1:1" x14ac:dyDescent="0.2">
      <c r="A339" s="41" t="s">
        <v>1093</v>
      </c>
    </row>
    <row r="340" spans="1:1" x14ac:dyDescent="0.2">
      <c r="A340" s="42" t="s">
        <v>238</v>
      </c>
    </row>
    <row r="341" spans="1:1" x14ac:dyDescent="0.2">
      <c r="A341" s="42" t="s">
        <v>239</v>
      </c>
    </row>
    <row r="342" spans="1:1" x14ac:dyDescent="0.2">
      <c r="A342" s="42" t="s">
        <v>240</v>
      </c>
    </row>
    <row r="343" spans="1:1" x14ac:dyDescent="0.2">
      <c r="A343" s="42" t="s">
        <v>273</v>
      </c>
    </row>
    <row r="344" spans="1:1" x14ac:dyDescent="0.2">
      <c r="A344" s="41" t="s">
        <v>274</v>
      </c>
    </row>
    <row r="345" spans="1:1" x14ac:dyDescent="0.2">
      <c r="A345" s="41"/>
    </row>
    <row r="346" spans="1:1" x14ac:dyDescent="0.2">
      <c r="A346" s="41" t="s">
        <v>1287</v>
      </c>
    </row>
    <row r="347" spans="1:1" x14ac:dyDescent="0.2">
      <c r="A347" s="41" t="s">
        <v>1288</v>
      </c>
    </row>
    <row r="348" spans="1:1" x14ac:dyDescent="0.2">
      <c r="A348" s="42" t="s">
        <v>238</v>
      </c>
    </row>
    <row r="349" spans="1:1" x14ac:dyDescent="0.2">
      <c r="A349" s="42" t="s">
        <v>239</v>
      </c>
    </row>
    <row r="350" spans="1:1" x14ac:dyDescent="0.2">
      <c r="A350" s="42" t="s">
        <v>972</v>
      </c>
    </row>
    <row r="351" spans="1:1" x14ac:dyDescent="0.2">
      <c r="A351" s="42" t="s">
        <v>273</v>
      </c>
    </row>
    <row r="352" spans="1:1" x14ac:dyDescent="0.2">
      <c r="A352" s="41" t="s">
        <v>274</v>
      </c>
    </row>
    <row r="353" spans="1:1" x14ac:dyDescent="0.2">
      <c r="A353" s="4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AF139"/>
  <sheetViews>
    <sheetView zoomScale="85" zoomScaleNormal="85" workbookViewId="0">
      <selection activeCell="A2" sqref="A2:C2"/>
    </sheetView>
  </sheetViews>
  <sheetFormatPr defaultColWidth="14.42578125" defaultRowHeight="15.75" customHeight="1" x14ac:dyDescent="0.2"/>
  <cols>
    <col min="1" max="1" width="3.5703125" bestFit="1" customWidth="1"/>
    <col min="2" max="2" width="12.42578125" bestFit="1" customWidth="1"/>
    <col min="3" max="3" width="11.42578125" bestFit="1" customWidth="1"/>
    <col min="4" max="4" width="6.140625" customWidth="1"/>
    <col min="5" max="5" width="3.5703125" bestFit="1" customWidth="1"/>
    <col min="6" max="6" width="23.140625" bestFit="1" customWidth="1"/>
    <col min="7" max="7" width="19.5703125" bestFit="1" customWidth="1"/>
    <col min="8" max="8" width="17" bestFit="1" customWidth="1"/>
    <col min="9" max="9" width="14" bestFit="1" customWidth="1"/>
    <col min="10" max="10" width="14" style="54" customWidth="1"/>
    <col min="11" max="11" width="43.28515625" customWidth="1"/>
    <col min="12" max="12" width="3.5703125" bestFit="1" customWidth="1"/>
    <col min="13" max="13" width="22.140625" bestFit="1" customWidth="1"/>
    <col min="14" max="14" width="24.28515625" bestFit="1" customWidth="1"/>
    <col min="15" max="15" width="28.5703125" bestFit="1" customWidth="1"/>
    <col min="16" max="16" width="16.7109375" bestFit="1" customWidth="1"/>
    <col min="17" max="17" width="20" bestFit="1" customWidth="1"/>
    <col min="18" max="18" width="25.7109375" bestFit="1" customWidth="1"/>
    <col min="19" max="19" width="28.140625" bestFit="1" customWidth="1"/>
    <col min="20" max="20" width="32.5703125" bestFit="1" customWidth="1"/>
    <col min="21" max="21" width="17" bestFit="1" customWidth="1"/>
    <col min="22" max="22" width="17.28515625" bestFit="1" customWidth="1"/>
    <col min="23" max="24" width="17" bestFit="1" customWidth="1"/>
  </cols>
  <sheetData>
    <row r="1" spans="1:26" s="26" customFormat="1" ht="15.75" customHeight="1" x14ac:dyDescent="0.2">
      <c r="D1" s="27"/>
      <c r="E1"/>
      <c r="F1"/>
      <c r="G1"/>
      <c r="H1"/>
      <c r="I1"/>
      <c r="J1" s="54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</row>
    <row r="2" spans="1:26" ht="15.75" customHeight="1" x14ac:dyDescent="0.2">
      <c r="A2" s="142" t="s">
        <v>28</v>
      </c>
      <c r="B2" s="143"/>
      <c r="C2" s="143"/>
      <c r="D2" s="27"/>
      <c r="E2" s="142" t="s">
        <v>39</v>
      </c>
      <c r="F2" s="143"/>
      <c r="G2" s="143"/>
      <c r="H2" s="143"/>
      <c r="I2" s="143"/>
      <c r="J2" s="53"/>
      <c r="L2" s="142" t="s">
        <v>40</v>
      </c>
      <c r="M2" s="143"/>
      <c r="N2" s="143"/>
      <c r="O2" s="143"/>
      <c r="P2" s="143"/>
      <c r="Q2" s="143"/>
      <c r="R2" s="143"/>
      <c r="S2" s="143"/>
      <c r="T2" s="143"/>
    </row>
    <row r="3" spans="1:26" ht="15.75" customHeight="1" x14ac:dyDescent="0.2">
      <c r="A3" s="65" t="s">
        <v>1</v>
      </c>
      <c r="B3" s="65" t="s">
        <v>211</v>
      </c>
      <c r="C3" s="65" t="s">
        <v>212</v>
      </c>
      <c r="D3" s="27"/>
      <c r="E3" s="2" t="s">
        <v>1</v>
      </c>
      <c r="F3" s="2" t="s">
        <v>211</v>
      </c>
      <c r="G3" s="2" t="s">
        <v>213</v>
      </c>
      <c r="H3" s="2" t="s">
        <v>3</v>
      </c>
      <c r="I3" s="2" t="s">
        <v>42</v>
      </c>
      <c r="J3" s="56"/>
      <c r="L3" s="2" t="s">
        <v>1</v>
      </c>
      <c r="M3" s="2" t="s">
        <v>211</v>
      </c>
      <c r="N3" s="2" t="s">
        <v>43</v>
      </c>
      <c r="O3" s="2" t="s">
        <v>20</v>
      </c>
      <c r="P3" s="2" t="s">
        <v>21</v>
      </c>
      <c r="Q3" s="2" t="s">
        <v>3</v>
      </c>
      <c r="R3" s="2" t="s">
        <v>213</v>
      </c>
      <c r="S3" s="2" t="s">
        <v>216</v>
      </c>
      <c r="T3" s="3" t="s">
        <v>208</v>
      </c>
    </row>
    <row r="4" spans="1:26" ht="15.75" customHeight="1" x14ac:dyDescent="0.2">
      <c r="A4" s="66">
        <v>1</v>
      </c>
      <c r="B4" s="66" t="s">
        <v>33</v>
      </c>
      <c r="C4" s="67" t="s">
        <v>895</v>
      </c>
      <c r="D4" s="27"/>
      <c r="E4" s="5">
        <v>1</v>
      </c>
      <c r="F4" s="5" t="s">
        <v>46</v>
      </c>
      <c r="G4" s="5">
        <v>1</v>
      </c>
      <c r="H4" s="7">
        <v>42184.689571759256</v>
      </c>
      <c r="I4" s="5">
        <v>1</v>
      </c>
      <c r="J4" s="57"/>
      <c r="L4" s="5">
        <v>1</v>
      </c>
      <c r="M4" s="5" t="s">
        <v>47</v>
      </c>
      <c r="N4" s="5"/>
      <c r="O4" s="10"/>
      <c r="P4" s="10"/>
      <c r="Q4" s="10"/>
      <c r="R4" s="5">
        <v>1</v>
      </c>
      <c r="S4" s="5">
        <v>1</v>
      </c>
      <c r="T4" s="8">
        <v>1</v>
      </c>
    </row>
    <row r="5" spans="1:26" ht="15.75" customHeight="1" x14ac:dyDescent="0.2">
      <c r="A5" s="66">
        <v>2</v>
      </c>
      <c r="B5" s="66" t="s">
        <v>36</v>
      </c>
      <c r="C5" s="67" t="s">
        <v>896</v>
      </c>
      <c r="D5" s="27"/>
      <c r="E5" s="5">
        <v>2</v>
      </c>
      <c r="F5" s="5" t="s">
        <v>49</v>
      </c>
      <c r="G5" s="5">
        <v>1</v>
      </c>
      <c r="H5" s="7">
        <v>42184.689571759256</v>
      </c>
      <c r="I5" s="5">
        <v>2</v>
      </c>
      <c r="J5" s="57"/>
      <c r="L5" s="5">
        <v>2</v>
      </c>
      <c r="M5" s="5" t="s">
        <v>50</v>
      </c>
      <c r="N5" s="5" t="s">
        <v>51</v>
      </c>
      <c r="O5" s="10"/>
      <c r="P5" s="10"/>
      <c r="Q5" s="10"/>
      <c r="R5" s="5">
        <v>1</v>
      </c>
      <c r="S5" s="5">
        <v>1</v>
      </c>
      <c r="T5" s="8">
        <v>1</v>
      </c>
    </row>
    <row r="6" spans="1:26" ht="15.75" customHeight="1" x14ac:dyDescent="0.2">
      <c r="C6" s="64"/>
      <c r="D6" s="27"/>
      <c r="E6" s="5">
        <v>3</v>
      </c>
      <c r="F6" s="5" t="s">
        <v>54</v>
      </c>
      <c r="G6" s="5">
        <v>1</v>
      </c>
      <c r="H6" s="7">
        <v>42184.689571759256</v>
      </c>
      <c r="I6" s="5">
        <v>3</v>
      </c>
      <c r="J6" s="57"/>
      <c r="L6" s="5">
        <v>3</v>
      </c>
      <c r="M6" s="5" t="s">
        <v>55</v>
      </c>
      <c r="N6" s="5" t="s">
        <v>56</v>
      </c>
      <c r="O6" s="10"/>
      <c r="P6" s="10"/>
      <c r="Q6" s="10"/>
      <c r="R6" s="5">
        <v>1</v>
      </c>
      <c r="S6" s="5">
        <v>2</v>
      </c>
      <c r="T6" s="8">
        <v>1</v>
      </c>
    </row>
    <row r="7" spans="1:26" ht="15.75" customHeight="1" x14ac:dyDescent="0.2">
      <c r="C7" s="64"/>
      <c r="D7" s="27"/>
      <c r="E7" s="5">
        <v>4</v>
      </c>
      <c r="F7" s="5" t="s">
        <v>58</v>
      </c>
      <c r="G7" s="5">
        <v>1</v>
      </c>
      <c r="H7" s="7">
        <v>42184.689571759256</v>
      </c>
      <c r="I7" s="5">
        <v>4</v>
      </c>
      <c r="J7" s="57"/>
      <c r="L7" s="5">
        <v>4</v>
      </c>
      <c r="M7" s="5" t="s">
        <v>44</v>
      </c>
      <c r="N7" s="5" t="s">
        <v>59</v>
      </c>
      <c r="O7" s="10"/>
      <c r="P7" s="10"/>
      <c r="Q7" s="10"/>
      <c r="R7" s="5">
        <v>1</v>
      </c>
      <c r="S7" s="5">
        <v>4</v>
      </c>
      <c r="T7" s="8">
        <v>3</v>
      </c>
    </row>
    <row r="8" spans="1:26" ht="15.75" customHeight="1" x14ac:dyDescent="0.2">
      <c r="C8" s="64"/>
      <c r="L8" s="142" t="s">
        <v>60</v>
      </c>
      <c r="M8" s="143"/>
      <c r="N8" s="143"/>
      <c r="O8" s="143"/>
      <c r="P8" s="143"/>
      <c r="Q8" s="143"/>
      <c r="R8" s="143"/>
    </row>
    <row r="9" spans="1:26" ht="15.75" customHeight="1" x14ac:dyDescent="0.2">
      <c r="A9" s="142" t="s">
        <v>45</v>
      </c>
      <c r="B9" s="143"/>
      <c r="C9" s="143"/>
      <c r="E9" s="26"/>
      <c r="F9" s="26"/>
      <c r="G9" s="26"/>
      <c r="H9" s="26"/>
      <c r="I9" s="26"/>
      <c r="L9" s="2" t="s">
        <v>1</v>
      </c>
      <c r="M9" s="2" t="s">
        <v>217</v>
      </c>
      <c r="N9" s="2" t="s">
        <v>211</v>
      </c>
      <c r="O9" s="11" t="s">
        <v>62</v>
      </c>
      <c r="P9" s="12" t="s">
        <v>218</v>
      </c>
      <c r="Q9" s="2" t="s">
        <v>213</v>
      </c>
      <c r="R9" s="2" t="s">
        <v>3</v>
      </c>
    </row>
    <row r="10" spans="1:26" ht="15.75" customHeight="1" x14ac:dyDescent="0.2">
      <c r="A10" s="68" t="s">
        <v>1</v>
      </c>
      <c r="B10" s="68" t="s">
        <v>211</v>
      </c>
      <c r="C10" s="68" t="s">
        <v>213</v>
      </c>
      <c r="E10" s="142" t="s">
        <v>0</v>
      </c>
      <c r="F10" s="143"/>
      <c r="G10" s="143"/>
      <c r="H10" s="26"/>
      <c r="I10" s="26"/>
      <c r="L10" s="5">
        <v>1</v>
      </c>
      <c r="M10" s="5">
        <v>1</v>
      </c>
      <c r="N10" s="5" t="s">
        <v>65</v>
      </c>
      <c r="O10" s="13" t="s">
        <v>66</v>
      </c>
      <c r="P10" s="14">
        <v>3000</v>
      </c>
      <c r="Q10" s="5">
        <v>1</v>
      </c>
      <c r="R10" s="7">
        <v>42184.689571759256</v>
      </c>
    </row>
    <row r="11" spans="1:26" ht="15.75" customHeight="1" x14ac:dyDescent="0.2">
      <c r="A11" s="66">
        <v>1</v>
      </c>
      <c r="B11" s="66" t="s">
        <v>53</v>
      </c>
      <c r="C11" s="67">
        <v>1</v>
      </c>
      <c r="E11" s="2" t="s">
        <v>1</v>
      </c>
      <c r="F11" s="2" t="s">
        <v>227</v>
      </c>
      <c r="G11" s="2" t="s">
        <v>211</v>
      </c>
      <c r="H11" s="2" t="s">
        <v>2</v>
      </c>
      <c r="I11" s="2" t="s">
        <v>888</v>
      </c>
      <c r="J11" s="2" t="s">
        <v>889</v>
      </c>
      <c r="L11" s="5">
        <v>2</v>
      </c>
      <c r="M11" s="5">
        <v>1</v>
      </c>
      <c r="N11" s="5" t="s">
        <v>69</v>
      </c>
      <c r="O11" s="13" t="s">
        <v>66</v>
      </c>
      <c r="P11" s="14">
        <v>1000</v>
      </c>
      <c r="Q11" s="5">
        <v>1</v>
      </c>
      <c r="R11" s="7">
        <v>42184.689571759256</v>
      </c>
    </row>
    <row r="12" spans="1:26" ht="15.75" customHeight="1" x14ac:dyDescent="0.2">
      <c r="A12" s="66">
        <v>2</v>
      </c>
      <c r="B12" s="66" t="s">
        <v>57</v>
      </c>
      <c r="C12" s="67">
        <v>1</v>
      </c>
      <c r="E12" s="5">
        <v>1</v>
      </c>
      <c r="F12" s="5">
        <v>1</v>
      </c>
      <c r="G12" s="6" t="s">
        <v>26</v>
      </c>
      <c r="H12" s="5" t="s">
        <v>27</v>
      </c>
      <c r="I12" s="5" t="s">
        <v>27</v>
      </c>
      <c r="J12" s="5" t="s">
        <v>27</v>
      </c>
      <c r="L12" s="5">
        <v>3</v>
      </c>
      <c r="M12" s="5">
        <v>2</v>
      </c>
      <c r="N12" s="5" t="s">
        <v>70</v>
      </c>
      <c r="O12" s="13" t="s">
        <v>71</v>
      </c>
      <c r="P12" s="14">
        <v>20000</v>
      </c>
      <c r="Q12" s="5">
        <v>1</v>
      </c>
      <c r="R12" s="7">
        <v>42184.689571759256</v>
      </c>
    </row>
    <row r="13" spans="1:26" ht="15.75" customHeight="1" x14ac:dyDescent="0.2">
      <c r="A13" s="66">
        <v>3</v>
      </c>
      <c r="B13" s="66" t="s">
        <v>776</v>
      </c>
      <c r="C13" s="67">
        <v>1</v>
      </c>
      <c r="E13" s="5">
        <v>2</v>
      </c>
      <c r="F13" s="5">
        <v>1</v>
      </c>
      <c r="G13" s="5" t="s">
        <v>31</v>
      </c>
      <c r="H13" s="5">
        <v>1</v>
      </c>
      <c r="I13" s="5" t="s">
        <v>27</v>
      </c>
      <c r="J13" s="5" t="s">
        <v>27</v>
      </c>
      <c r="K13" s="26" t="str">
        <f>CONCATENATE("Insert into `",E10,"` (name, parent_id, lft, rght) Values ")</f>
        <v xml:space="preserve">Insert into `Services` (name, parent_id, lft, rght) Values </v>
      </c>
      <c r="L13" s="5">
        <v>4</v>
      </c>
      <c r="M13" s="5">
        <v>2</v>
      </c>
      <c r="N13" s="5" t="s">
        <v>74</v>
      </c>
      <c r="O13" s="13" t="s">
        <v>71</v>
      </c>
      <c r="P13" s="14">
        <v>10000</v>
      </c>
      <c r="Q13" s="5">
        <v>1</v>
      </c>
      <c r="R13" s="7">
        <v>42184.689571759256</v>
      </c>
    </row>
    <row r="14" spans="1:26" ht="15.75" customHeight="1" x14ac:dyDescent="0.2">
      <c r="A14" s="66">
        <v>4</v>
      </c>
      <c r="B14" s="66" t="s">
        <v>777</v>
      </c>
      <c r="C14" s="67">
        <v>1</v>
      </c>
      <c r="E14" s="5">
        <v>3</v>
      </c>
      <c r="F14" s="5">
        <v>1</v>
      </c>
      <c r="G14" s="5" t="s">
        <v>32</v>
      </c>
      <c r="H14" s="5">
        <v>1</v>
      </c>
      <c r="I14" s="5" t="s">
        <v>27</v>
      </c>
      <c r="J14" s="5" t="s">
        <v>27</v>
      </c>
      <c r="K14" s="26" t="str">
        <f t="shared" ref="K14:K47" si="0">CONCATENATE("('",G12,"', ", H12, ",", I12, ",", J12, "),")</f>
        <v>('Album Items', null,null,null),</v>
      </c>
    </row>
    <row r="15" spans="1:26" ht="15.75" customHeight="1" x14ac:dyDescent="0.2">
      <c r="C15" s="64"/>
      <c r="E15" s="5">
        <v>4</v>
      </c>
      <c r="F15" s="5">
        <v>1</v>
      </c>
      <c r="G15" s="5" t="s">
        <v>35</v>
      </c>
      <c r="H15" s="5">
        <v>1</v>
      </c>
      <c r="I15" s="5" t="s">
        <v>27</v>
      </c>
      <c r="J15" s="5" t="s">
        <v>27</v>
      </c>
      <c r="K15" s="52" t="str">
        <f t="shared" si="0"/>
        <v>('Glossy', 1,null,null),</v>
      </c>
      <c r="L15" s="144" t="s">
        <v>78</v>
      </c>
      <c r="M15" s="145"/>
      <c r="N15" s="145"/>
      <c r="O15" s="145"/>
      <c r="P15" s="145"/>
      <c r="Q15" s="145"/>
      <c r="R15" s="145"/>
    </row>
    <row r="16" spans="1:26" ht="15.75" customHeight="1" x14ac:dyDescent="0.2">
      <c r="A16" s="142" t="s">
        <v>68</v>
      </c>
      <c r="B16" s="143"/>
      <c r="C16" s="143"/>
      <c r="E16" s="5">
        <v>5</v>
      </c>
      <c r="F16" s="5">
        <v>1</v>
      </c>
      <c r="G16" s="5" t="s">
        <v>37</v>
      </c>
      <c r="H16" s="5">
        <v>1</v>
      </c>
      <c r="I16" s="5" t="s">
        <v>27</v>
      </c>
      <c r="J16" s="5" t="s">
        <v>27</v>
      </c>
      <c r="K16" s="52" t="str">
        <f t="shared" si="0"/>
        <v>('Velvet', 1,null,null),</v>
      </c>
      <c r="L16" s="2" t="s">
        <v>1</v>
      </c>
      <c r="M16" s="2" t="s">
        <v>219</v>
      </c>
      <c r="N16" s="2" t="s">
        <v>220</v>
      </c>
      <c r="O16" s="2" t="s">
        <v>221</v>
      </c>
      <c r="P16" s="2" t="s">
        <v>222</v>
      </c>
      <c r="Q16" s="2" t="s">
        <v>223</v>
      </c>
      <c r="R16" s="2" t="s">
        <v>3</v>
      </c>
    </row>
    <row r="17" spans="1:21" ht="15.75" customHeight="1" x14ac:dyDescent="0.2">
      <c r="A17" s="2" t="s">
        <v>1</v>
      </c>
      <c r="B17" s="2" t="s">
        <v>211</v>
      </c>
      <c r="C17" s="2" t="s">
        <v>212</v>
      </c>
      <c r="E17" s="5">
        <v>6</v>
      </c>
      <c r="F17" s="5">
        <v>1</v>
      </c>
      <c r="G17" s="5" t="s">
        <v>38</v>
      </c>
      <c r="H17" s="5">
        <v>1</v>
      </c>
      <c r="I17" s="5" t="s">
        <v>27</v>
      </c>
      <c r="J17" s="5" t="s">
        <v>27</v>
      </c>
      <c r="K17" s="52" t="str">
        <f t="shared" si="0"/>
        <v>('Metalic-Gold', 1,null,null),</v>
      </c>
      <c r="L17" s="5">
        <v>1</v>
      </c>
      <c r="M17" s="5">
        <v>1</v>
      </c>
      <c r="N17" s="5">
        <v>3</v>
      </c>
      <c r="O17" s="5">
        <v>1</v>
      </c>
      <c r="P17" s="5">
        <v>1</v>
      </c>
      <c r="Q17" s="5">
        <v>400</v>
      </c>
      <c r="R17" s="7">
        <v>42184.729108796295</v>
      </c>
    </row>
    <row r="18" spans="1:21" ht="15.75" customHeight="1" x14ac:dyDescent="0.2">
      <c r="A18" s="5">
        <v>1</v>
      </c>
      <c r="B18" s="5" t="s">
        <v>73</v>
      </c>
      <c r="C18" s="5" t="s">
        <v>879</v>
      </c>
      <c r="E18" s="5">
        <v>7</v>
      </c>
      <c r="F18" s="5">
        <v>1</v>
      </c>
      <c r="G18" s="5" t="s">
        <v>41</v>
      </c>
      <c r="H18" s="5">
        <v>1</v>
      </c>
      <c r="I18" s="5" t="s">
        <v>27</v>
      </c>
      <c r="J18" s="5" t="s">
        <v>27</v>
      </c>
      <c r="K18" s="52" t="str">
        <f t="shared" si="0"/>
        <v>('Metalic-Silver', 1,null,null),</v>
      </c>
      <c r="L18" s="5">
        <v>2</v>
      </c>
      <c r="M18" s="5">
        <v>3</v>
      </c>
      <c r="N18" s="5">
        <v>1</v>
      </c>
      <c r="O18" s="5">
        <v>1</v>
      </c>
      <c r="P18" s="5">
        <v>2</v>
      </c>
      <c r="Q18" s="5">
        <v>10000</v>
      </c>
      <c r="R18" s="7">
        <v>42184.756469907406</v>
      </c>
    </row>
    <row r="19" spans="1:21" ht="15.75" customHeight="1" x14ac:dyDescent="0.2">
      <c r="A19" s="5">
        <v>2</v>
      </c>
      <c r="B19" s="5" t="s">
        <v>76</v>
      </c>
      <c r="C19" s="5" t="s">
        <v>880</v>
      </c>
      <c r="E19" s="5">
        <v>8</v>
      </c>
      <c r="F19" s="5">
        <v>1</v>
      </c>
      <c r="G19" s="5" t="s">
        <v>44</v>
      </c>
      <c r="H19" s="5">
        <v>1</v>
      </c>
      <c r="I19" s="5" t="s">
        <v>27</v>
      </c>
      <c r="J19" s="5" t="s">
        <v>27</v>
      </c>
      <c r="K19" s="52" t="str">
        <f t="shared" si="0"/>
        <v>('Silk-met', 1,null,null),</v>
      </c>
      <c r="L19" s="1">
        <v>1</v>
      </c>
      <c r="M19" s="1" t="s">
        <v>65</v>
      </c>
      <c r="N19" s="1" t="s">
        <v>34</v>
      </c>
      <c r="O19" s="1" t="s">
        <v>86</v>
      </c>
      <c r="P19" s="1" t="s">
        <v>87</v>
      </c>
      <c r="Q19" s="1">
        <v>400</v>
      </c>
    </row>
    <row r="20" spans="1:21" ht="15.75" customHeight="1" x14ac:dyDescent="0.2">
      <c r="C20" s="64"/>
      <c r="E20" s="5">
        <v>9</v>
      </c>
      <c r="F20" s="5">
        <v>1</v>
      </c>
      <c r="G20" s="6" t="s">
        <v>48</v>
      </c>
      <c r="H20" s="5" t="s">
        <v>27</v>
      </c>
      <c r="I20" s="5" t="s">
        <v>27</v>
      </c>
      <c r="J20" s="5" t="s">
        <v>27</v>
      </c>
      <c r="K20" s="52" t="str">
        <f t="shared" si="0"/>
        <v>('Synthetic', 1,null,null),</v>
      </c>
    </row>
    <row r="21" spans="1:21" ht="15.75" customHeight="1" x14ac:dyDescent="0.2">
      <c r="C21" s="64"/>
      <c r="E21" s="5">
        <v>10</v>
      </c>
      <c r="F21" s="5">
        <v>1</v>
      </c>
      <c r="G21" s="5" t="s">
        <v>52</v>
      </c>
      <c r="H21" s="5">
        <v>9</v>
      </c>
      <c r="I21" s="5" t="s">
        <v>27</v>
      </c>
      <c r="J21" s="5" t="s">
        <v>27</v>
      </c>
      <c r="K21" s="52" t="str">
        <f t="shared" si="0"/>
        <v>('Other', 1,null,null),</v>
      </c>
    </row>
    <row r="22" spans="1:21" ht="15.75" customHeight="1" x14ac:dyDescent="0.2">
      <c r="A22" s="142" t="s">
        <v>82</v>
      </c>
      <c r="B22" s="143"/>
      <c r="C22" s="143"/>
      <c r="E22" s="5">
        <v>11</v>
      </c>
      <c r="F22" s="5">
        <v>1</v>
      </c>
      <c r="G22" s="5" t="s">
        <v>53</v>
      </c>
      <c r="H22" s="5">
        <v>9</v>
      </c>
      <c r="I22" s="5" t="s">
        <v>27</v>
      </c>
      <c r="J22" s="5" t="s">
        <v>27</v>
      </c>
      <c r="K22" s="52" t="str">
        <f t="shared" si="0"/>
        <v>('Pads', null,null,null),</v>
      </c>
      <c r="L22" s="146" t="s">
        <v>205</v>
      </c>
      <c r="M22" s="145"/>
      <c r="N22" s="145"/>
      <c r="O22" s="145"/>
      <c r="P22" s="145"/>
      <c r="Q22" s="145"/>
      <c r="R22" s="145"/>
      <c r="S22" s="145"/>
    </row>
    <row r="23" spans="1:21" ht="15.75" customHeight="1" x14ac:dyDescent="0.2">
      <c r="A23" s="2" t="s">
        <v>1</v>
      </c>
      <c r="B23" s="2" t="s">
        <v>211</v>
      </c>
      <c r="C23" s="2" t="s">
        <v>214</v>
      </c>
      <c r="E23" s="5">
        <v>12</v>
      </c>
      <c r="F23" s="5">
        <v>1</v>
      </c>
      <c r="G23" s="5" t="s">
        <v>38</v>
      </c>
      <c r="H23" s="5">
        <v>9</v>
      </c>
      <c r="I23" s="5" t="s">
        <v>27</v>
      </c>
      <c r="J23" s="5" t="s">
        <v>27</v>
      </c>
      <c r="K23" s="52" t="str">
        <f t="shared" si="0"/>
        <v>('3D', 9,null,null),</v>
      </c>
      <c r="L23" s="15" t="s">
        <v>1</v>
      </c>
      <c r="M23" s="15" t="s">
        <v>80</v>
      </c>
      <c r="N23" s="15" t="s">
        <v>80</v>
      </c>
      <c r="O23" s="15">
        <v>3</v>
      </c>
      <c r="P23" s="16" t="s">
        <v>92</v>
      </c>
      <c r="Q23" s="17" t="s">
        <v>62</v>
      </c>
      <c r="R23" s="15" t="s">
        <v>93</v>
      </c>
      <c r="S23" s="15" t="s">
        <v>94</v>
      </c>
    </row>
    <row r="24" spans="1:21" ht="15.75" customHeight="1" x14ac:dyDescent="0.2">
      <c r="A24" s="5">
        <v>1</v>
      </c>
      <c r="B24" s="5" t="s">
        <v>85</v>
      </c>
      <c r="C24" s="69" t="s">
        <v>897</v>
      </c>
      <c r="E24" s="5">
        <v>13</v>
      </c>
      <c r="F24" s="5">
        <v>1</v>
      </c>
      <c r="G24" s="5" t="s">
        <v>61</v>
      </c>
      <c r="H24" s="5">
        <v>9</v>
      </c>
      <c r="I24" s="5" t="s">
        <v>27</v>
      </c>
      <c r="J24" s="5" t="s">
        <v>27</v>
      </c>
      <c r="K24" s="52" t="str">
        <f t="shared" si="0"/>
        <v>('Regular', 9,null,null),</v>
      </c>
      <c r="L24" s="18">
        <v>1</v>
      </c>
      <c r="M24" s="18">
        <v>1</v>
      </c>
      <c r="N24" s="18">
        <v>1</v>
      </c>
      <c r="O24" s="18">
        <v>1</v>
      </c>
      <c r="P24" s="19">
        <v>10</v>
      </c>
      <c r="Q24" s="20" t="s">
        <v>96</v>
      </c>
      <c r="R24" s="21">
        <v>42184.689571759256</v>
      </c>
      <c r="S24" s="21">
        <v>42214.689571759256</v>
      </c>
    </row>
    <row r="25" spans="1:21" ht="15.75" customHeight="1" x14ac:dyDescent="0.2">
      <c r="A25" s="5">
        <v>2</v>
      </c>
      <c r="B25" s="5" t="s">
        <v>88</v>
      </c>
      <c r="C25" s="69" t="s">
        <v>898</v>
      </c>
      <c r="E25" s="5">
        <v>14</v>
      </c>
      <c r="F25" s="5">
        <v>1</v>
      </c>
      <c r="G25" s="5" t="s">
        <v>63</v>
      </c>
      <c r="H25" s="5">
        <v>9</v>
      </c>
      <c r="I25" s="5" t="s">
        <v>27</v>
      </c>
      <c r="J25" s="5" t="s">
        <v>27</v>
      </c>
      <c r="K25" s="52" t="str">
        <f t="shared" si="0"/>
        <v>('Silk-met', 9,null,null),</v>
      </c>
    </row>
    <row r="26" spans="1:21" ht="15.75" customHeight="1" x14ac:dyDescent="0.2">
      <c r="A26" s="5">
        <v>3</v>
      </c>
      <c r="B26" s="5" t="s">
        <v>89</v>
      </c>
      <c r="C26" s="69" t="s">
        <v>899</v>
      </c>
      <c r="E26" s="5">
        <v>15</v>
      </c>
      <c r="F26" s="5">
        <v>1</v>
      </c>
      <c r="G26" s="6" t="s">
        <v>67</v>
      </c>
      <c r="H26" s="5" t="s">
        <v>27</v>
      </c>
      <c r="I26" s="5" t="s">
        <v>27</v>
      </c>
      <c r="J26" s="5" t="s">
        <v>27</v>
      </c>
      <c r="K26" s="52" t="str">
        <f t="shared" si="0"/>
        <v>('Guiltar', 9,null,null),</v>
      </c>
    </row>
    <row r="27" spans="1:21" ht="15.75" customHeight="1" x14ac:dyDescent="0.2">
      <c r="A27" s="5">
        <v>4</v>
      </c>
      <c r="B27" s="5" t="s">
        <v>91</v>
      </c>
      <c r="C27" s="69" t="s">
        <v>900</v>
      </c>
      <c r="E27" s="5">
        <v>16</v>
      </c>
      <c r="F27" s="5">
        <v>1</v>
      </c>
      <c r="G27" s="5" t="s">
        <v>53</v>
      </c>
      <c r="H27" s="5">
        <v>15</v>
      </c>
      <c r="I27" s="5" t="s">
        <v>27</v>
      </c>
      <c r="J27" s="5" t="s">
        <v>27</v>
      </c>
      <c r="K27" s="52" t="str">
        <f t="shared" si="0"/>
        <v>('Leather', 9,null,null),</v>
      </c>
    </row>
    <row r="28" spans="1:21" ht="15.75" customHeight="1" x14ac:dyDescent="0.2">
      <c r="C28" s="64"/>
      <c r="E28" s="5">
        <v>17</v>
      </c>
      <c r="F28" s="5">
        <v>1</v>
      </c>
      <c r="G28" s="5" t="s">
        <v>72</v>
      </c>
      <c r="H28" s="5">
        <v>15</v>
      </c>
      <c r="I28" s="5" t="s">
        <v>27</v>
      </c>
      <c r="J28" s="5" t="s">
        <v>27</v>
      </c>
      <c r="K28" s="52" t="str">
        <f t="shared" si="0"/>
        <v>('Bags', null,null,null),</v>
      </c>
    </row>
    <row r="29" spans="1:21" ht="15.75" customHeight="1" x14ac:dyDescent="0.2">
      <c r="A29" s="142" t="s">
        <v>95</v>
      </c>
      <c r="B29" s="143"/>
      <c r="C29" s="143"/>
      <c r="E29" s="5">
        <v>18</v>
      </c>
      <c r="F29" s="5">
        <v>1</v>
      </c>
      <c r="G29" s="5" t="s">
        <v>75</v>
      </c>
      <c r="H29" s="5">
        <v>15</v>
      </c>
      <c r="I29" s="5" t="s">
        <v>27</v>
      </c>
      <c r="J29" s="5" t="s">
        <v>27</v>
      </c>
      <c r="K29" s="52" t="str">
        <f t="shared" si="0"/>
        <v>('Regular', 15,null,null),</v>
      </c>
      <c r="L29" s="144" t="s">
        <v>103</v>
      </c>
      <c r="M29" s="145"/>
      <c r="N29" s="145"/>
      <c r="O29" s="145"/>
      <c r="P29" s="145"/>
      <c r="Q29" s="145"/>
      <c r="R29" s="145"/>
      <c r="S29" s="145"/>
    </row>
    <row r="30" spans="1:21" ht="15.75" customHeight="1" x14ac:dyDescent="0.2">
      <c r="A30" s="2" t="s">
        <v>1</v>
      </c>
      <c r="B30" s="2" t="s">
        <v>211</v>
      </c>
      <c r="C30" s="2" t="s">
        <v>881</v>
      </c>
      <c r="E30" s="5">
        <v>19</v>
      </c>
      <c r="F30" s="5">
        <v>1</v>
      </c>
      <c r="G30" s="5" t="s">
        <v>77</v>
      </c>
      <c r="H30" s="5">
        <v>15</v>
      </c>
      <c r="I30" s="5" t="s">
        <v>27</v>
      </c>
      <c r="J30" s="5" t="s">
        <v>27</v>
      </c>
      <c r="K30" s="52" t="str">
        <f t="shared" si="0"/>
        <v>('Premium', 15,null,null),</v>
      </c>
      <c r="L30" s="2" t="s">
        <v>1</v>
      </c>
      <c r="M30" s="2" t="s">
        <v>220</v>
      </c>
      <c r="N30" s="2" t="s">
        <v>224</v>
      </c>
      <c r="O30" s="2" t="s">
        <v>221</v>
      </c>
      <c r="P30" s="39" t="s">
        <v>206</v>
      </c>
      <c r="Q30" s="11" t="s">
        <v>219</v>
      </c>
      <c r="R30" s="2" t="s">
        <v>222</v>
      </c>
      <c r="S30" s="2" t="s">
        <v>223</v>
      </c>
      <c r="T30" s="40" t="s">
        <v>206</v>
      </c>
      <c r="U30" s="40" t="s">
        <v>207</v>
      </c>
    </row>
    <row r="31" spans="1:21" ht="15.75" customHeight="1" x14ac:dyDescent="0.2">
      <c r="A31" s="5">
        <v>1</v>
      </c>
      <c r="B31" s="5" t="s">
        <v>87</v>
      </c>
      <c r="C31" s="5">
        <v>1</v>
      </c>
      <c r="E31" s="5">
        <v>20</v>
      </c>
      <c r="F31" s="5">
        <v>1</v>
      </c>
      <c r="G31" s="6" t="s">
        <v>79</v>
      </c>
      <c r="H31" s="5" t="s">
        <v>27</v>
      </c>
      <c r="I31" s="5" t="s">
        <v>27</v>
      </c>
      <c r="J31" s="5" t="s">
        <v>27</v>
      </c>
      <c r="K31" s="52" t="str">
        <f t="shared" si="0"/>
        <v>('Juit', 15,null,null),</v>
      </c>
      <c r="L31" s="5">
        <v>1</v>
      </c>
      <c r="M31" s="5">
        <v>1</v>
      </c>
      <c r="N31" s="5">
        <v>1</v>
      </c>
      <c r="O31" s="5">
        <v>1</v>
      </c>
      <c r="P31" s="22"/>
      <c r="Q31" s="23"/>
      <c r="R31" s="7"/>
      <c r="S31" s="7">
        <v>42214.689571759256</v>
      </c>
    </row>
    <row r="32" spans="1:21" ht="15.75" customHeight="1" x14ac:dyDescent="0.2">
      <c r="A32" s="5">
        <v>2</v>
      </c>
      <c r="B32" s="5" t="s">
        <v>99</v>
      </c>
      <c r="C32" s="5">
        <v>-1</v>
      </c>
      <c r="E32" s="5">
        <v>21</v>
      </c>
      <c r="F32" s="5">
        <v>1</v>
      </c>
      <c r="G32" s="5" t="s">
        <v>81</v>
      </c>
      <c r="H32" s="5">
        <v>20</v>
      </c>
      <c r="I32" s="5" t="s">
        <v>27</v>
      </c>
      <c r="J32" s="5" t="s">
        <v>27</v>
      </c>
      <c r="K32" s="52" t="str">
        <f t="shared" si="0"/>
        <v>('Box', 15,null,null),</v>
      </c>
      <c r="L32" s="5"/>
      <c r="M32" s="5" t="s">
        <v>29</v>
      </c>
      <c r="N32" s="5" t="s">
        <v>108</v>
      </c>
      <c r="O32" s="5" t="s">
        <v>105</v>
      </c>
      <c r="P32" s="24" t="s">
        <v>34</v>
      </c>
      <c r="Q32" s="1">
        <v>1</v>
      </c>
      <c r="R32" s="5" t="s">
        <v>87</v>
      </c>
      <c r="S32" s="5">
        <v>1000</v>
      </c>
      <c r="T32" s="18" t="s">
        <v>109</v>
      </c>
      <c r="U32" s="7">
        <v>42214.689571759256</v>
      </c>
    </row>
    <row r="33" spans="1:21" ht="15.75" customHeight="1" x14ac:dyDescent="0.2">
      <c r="C33" s="64"/>
      <c r="E33" s="5">
        <v>22</v>
      </c>
      <c r="F33" s="5">
        <v>1</v>
      </c>
      <c r="G33" s="5" t="s">
        <v>83</v>
      </c>
      <c r="H33" s="5">
        <v>20</v>
      </c>
      <c r="I33" s="5" t="s">
        <v>27</v>
      </c>
      <c r="J33" s="5" t="s">
        <v>27</v>
      </c>
      <c r="K33" s="52" t="str">
        <f t="shared" si="0"/>
        <v>('Cards', null,null,null),</v>
      </c>
      <c r="L33" s="5"/>
      <c r="M33" s="5" t="s">
        <v>29</v>
      </c>
      <c r="N33" s="5" t="s">
        <v>112</v>
      </c>
      <c r="O33" s="5" t="s">
        <v>105</v>
      </c>
      <c r="P33" s="24" t="s">
        <v>113</v>
      </c>
      <c r="Q33" s="1">
        <v>2</v>
      </c>
      <c r="R33" s="5" t="s">
        <v>87</v>
      </c>
      <c r="S33" s="5">
        <v>5500</v>
      </c>
      <c r="T33" s="18" t="s">
        <v>114</v>
      </c>
      <c r="U33" s="7">
        <v>42214.689571759256</v>
      </c>
    </row>
    <row r="34" spans="1:21" ht="15.75" customHeight="1" x14ac:dyDescent="0.2">
      <c r="A34" s="142" t="s">
        <v>102</v>
      </c>
      <c r="B34" s="143"/>
      <c r="C34" s="143"/>
      <c r="E34" s="5">
        <v>23</v>
      </c>
      <c r="F34" s="5">
        <v>1</v>
      </c>
      <c r="G34" s="6" t="s">
        <v>84</v>
      </c>
      <c r="H34" s="5" t="s">
        <v>27</v>
      </c>
      <c r="I34" s="5" t="s">
        <v>27</v>
      </c>
      <c r="J34" s="5" t="s">
        <v>27</v>
      </c>
      <c r="K34" s="52" t="str">
        <f t="shared" si="0"/>
        <v>('Single Sided', 20,null,null),</v>
      </c>
      <c r="L34" s="5"/>
      <c r="M34" s="5" t="s">
        <v>34</v>
      </c>
      <c r="N34" s="5" t="s">
        <v>117</v>
      </c>
      <c r="O34" s="5" t="s">
        <v>107</v>
      </c>
      <c r="P34" s="24" t="s">
        <v>118</v>
      </c>
      <c r="Q34" s="1">
        <v>3</v>
      </c>
      <c r="R34" s="5" t="s">
        <v>87</v>
      </c>
      <c r="S34" s="5">
        <v>2000</v>
      </c>
      <c r="T34" s="18" t="s">
        <v>119</v>
      </c>
      <c r="U34" s="7">
        <v>42214.689571759256</v>
      </c>
    </row>
    <row r="35" spans="1:21" ht="15.75" customHeight="1" x14ac:dyDescent="0.2">
      <c r="A35" s="2" t="s">
        <v>1</v>
      </c>
      <c r="B35" s="2" t="s">
        <v>211</v>
      </c>
      <c r="C35" s="2" t="s">
        <v>212</v>
      </c>
      <c r="E35" s="5">
        <v>24</v>
      </c>
      <c r="F35" s="5">
        <v>1</v>
      </c>
      <c r="G35" s="5" t="s">
        <v>81</v>
      </c>
      <c r="H35" s="5">
        <v>23</v>
      </c>
      <c r="I35" s="5" t="s">
        <v>27</v>
      </c>
      <c r="J35" s="5" t="s">
        <v>27</v>
      </c>
      <c r="K35" s="52" t="str">
        <f t="shared" si="0"/>
        <v>('Multi Sided', 20,null,null),</v>
      </c>
      <c r="L35" s="5"/>
      <c r="M35" s="5" t="s">
        <v>34</v>
      </c>
      <c r="N35" s="5" t="s">
        <v>112</v>
      </c>
      <c r="O35" s="5" t="s">
        <v>111</v>
      </c>
      <c r="P35" s="24" t="s">
        <v>121</v>
      </c>
      <c r="Q35" s="1">
        <v>4</v>
      </c>
      <c r="R35" s="5" t="s">
        <v>87</v>
      </c>
      <c r="S35" s="5">
        <v>250</v>
      </c>
      <c r="T35" s="18" t="s">
        <v>122</v>
      </c>
      <c r="U35" s="7">
        <v>42214.689571759256</v>
      </c>
    </row>
    <row r="36" spans="1:21" ht="15.75" customHeight="1" x14ac:dyDescent="0.2">
      <c r="A36" s="5">
        <v>1</v>
      </c>
      <c r="B36" s="5" t="s">
        <v>86</v>
      </c>
      <c r="C36" s="5" t="s">
        <v>105</v>
      </c>
      <c r="E36" s="5">
        <v>25</v>
      </c>
      <c r="F36" s="5">
        <v>1</v>
      </c>
      <c r="G36" s="5" t="s">
        <v>83</v>
      </c>
      <c r="H36" s="5">
        <v>23</v>
      </c>
      <c r="I36" s="5" t="s">
        <v>27</v>
      </c>
      <c r="J36" s="5" t="s">
        <v>27</v>
      </c>
      <c r="K36" s="52" t="str">
        <f t="shared" si="0"/>
        <v>('Hard Paper', null,null,null),</v>
      </c>
      <c r="L36" s="5"/>
      <c r="M36" s="5" t="s">
        <v>29</v>
      </c>
      <c r="N36" s="5" t="s">
        <v>112</v>
      </c>
      <c r="O36" s="5" t="s">
        <v>116</v>
      </c>
      <c r="P36" s="24" t="s">
        <v>125</v>
      </c>
      <c r="Q36" s="1">
        <v>5</v>
      </c>
      <c r="R36" s="5" t="s">
        <v>87</v>
      </c>
      <c r="S36" s="5">
        <v>5000</v>
      </c>
      <c r="T36" s="18" t="s">
        <v>126</v>
      </c>
      <c r="U36" s="7">
        <v>42214.689571759256</v>
      </c>
    </row>
    <row r="37" spans="1:21" ht="15.75" customHeight="1" x14ac:dyDescent="0.2">
      <c r="A37" s="5">
        <v>2</v>
      </c>
      <c r="B37" s="5" t="s">
        <v>106</v>
      </c>
      <c r="C37" s="5" t="s">
        <v>107</v>
      </c>
      <c r="E37" s="5">
        <v>26</v>
      </c>
      <c r="F37" s="5">
        <v>1</v>
      </c>
      <c r="G37" s="6" t="s">
        <v>90</v>
      </c>
      <c r="H37" s="5" t="s">
        <v>27</v>
      </c>
      <c r="I37" s="5" t="s">
        <v>27</v>
      </c>
      <c r="J37" s="5" t="s">
        <v>27</v>
      </c>
      <c r="K37" s="52" t="str">
        <f t="shared" si="0"/>
        <v>('Single Sided', 23,null,null),</v>
      </c>
      <c r="L37" s="5"/>
      <c r="M37" s="5" t="s">
        <v>29</v>
      </c>
      <c r="N37" s="5" t="s">
        <v>112</v>
      </c>
      <c r="O37" s="5" t="s">
        <v>116</v>
      </c>
      <c r="P37" s="24" t="s">
        <v>127</v>
      </c>
      <c r="Q37" s="1">
        <v>6</v>
      </c>
      <c r="R37" s="5" t="s">
        <v>87</v>
      </c>
      <c r="S37" s="5">
        <v>25000</v>
      </c>
      <c r="T37" s="18" t="s">
        <v>126</v>
      </c>
      <c r="U37" s="7">
        <v>42214.689571759256</v>
      </c>
    </row>
    <row r="38" spans="1:21" ht="15.75" customHeight="1" x14ac:dyDescent="0.2">
      <c r="A38" s="5">
        <v>3</v>
      </c>
      <c r="B38" s="5" t="s">
        <v>110</v>
      </c>
      <c r="C38" s="5" t="s">
        <v>111</v>
      </c>
      <c r="E38" s="5">
        <v>27</v>
      </c>
      <c r="F38" s="5">
        <v>1</v>
      </c>
      <c r="G38" s="5" t="s">
        <v>81</v>
      </c>
      <c r="H38" s="5">
        <v>26</v>
      </c>
      <c r="I38" s="5" t="s">
        <v>27</v>
      </c>
      <c r="J38" s="5" t="s">
        <v>27</v>
      </c>
      <c r="K38" s="52" t="str">
        <f t="shared" si="0"/>
        <v>('Multi Sided', 23,null,null),</v>
      </c>
      <c r="L38" s="5"/>
      <c r="M38" s="5" t="s">
        <v>29</v>
      </c>
      <c r="N38" s="5" t="s">
        <v>112</v>
      </c>
      <c r="O38" s="5" t="s">
        <v>124</v>
      </c>
      <c r="P38" s="25" t="s">
        <v>129</v>
      </c>
      <c r="Q38" s="1">
        <v>7</v>
      </c>
      <c r="R38" s="5" t="s">
        <v>87</v>
      </c>
      <c r="S38" s="5">
        <v>2000</v>
      </c>
      <c r="T38" s="18" t="s">
        <v>130</v>
      </c>
      <c r="U38" s="7">
        <v>42214.689571759256</v>
      </c>
    </row>
    <row r="39" spans="1:21" ht="15.75" customHeight="1" x14ac:dyDescent="0.2">
      <c r="A39" s="5">
        <v>4</v>
      </c>
      <c r="B39" s="5" t="s">
        <v>115</v>
      </c>
      <c r="C39" s="5" t="s">
        <v>116</v>
      </c>
      <c r="E39" s="5">
        <v>28</v>
      </c>
      <c r="F39" s="5">
        <v>1</v>
      </c>
      <c r="G39" s="5" t="s">
        <v>83</v>
      </c>
      <c r="H39" s="5">
        <v>26</v>
      </c>
      <c r="I39" s="5" t="s">
        <v>27</v>
      </c>
      <c r="J39" s="5" t="s">
        <v>27</v>
      </c>
      <c r="K39" s="52" t="str">
        <f t="shared" si="0"/>
        <v>('Non-Tearable Paper', null,null,null),</v>
      </c>
    </row>
    <row r="40" spans="1:21" ht="15.75" customHeight="1" x14ac:dyDescent="0.2">
      <c r="A40" s="25">
        <v>5</v>
      </c>
      <c r="B40" s="25" t="s">
        <v>120</v>
      </c>
      <c r="C40" s="25" t="s">
        <v>874</v>
      </c>
      <c r="E40" s="5">
        <v>29</v>
      </c>
      <c r="F40" s="5">
        <v>1</v>
      </c>
      <c r="G40" s="6" t="s">
        <v>97</v>
      </c>
      <c r="H40" s="5" t="s">
        <v>27</v>
      </c>
      <c r="I40" s="5" t="s">
        <v>27</v>
      </c>
      <c r="J40" s="5" t="s">
        <v>27</v>
      </c>
      <c r="K40" s="52" t="str">
        <f t="shared" si="0"/>
        <v>('Single Sided', 26,null,null),</v>
      </c>
    </row>
    <row r="41" spans="1:21" ht="15.75" customHeight="1" x14ac:dyDescent="0.2">
      <c r="A41" s="25">
        <v>6</v>
      </c>
      <c r="B41" s="25" t="s">
        <v>123</v>
      </c>
      <c r="C41" s="25" t="s">
        <v>875</v>
      </c>
      <c r="E41" s="5">
        <v>30</v>
      </c>
      <c r="F41" s="5">
        <v>1</v>
      </c>
      <c r="G41" s="5" t="s">
        <v>53</v>
      </c>
      <c r="H41" s="5">
        <v>29</v>
      </c>
      <c r="I41" s="5" t="s">
        <v>27</v>
      </c>
      <c r="J41" s="5" t="s">
        <v>27</v>
      </c>
      <c r="K41" s="52" t="str">
        <f t="shared" si="0"/>
        <v>('Multi Sided', 26,null,null),</v>
      </c>
      <c r="L41" s="144" t="s">
        <v>775</v>
      </c>
      <c r="M41" s="145"/>
      <c r="N41" s="145"/>
      <c r="O41" s="145"/>
      <c r="P41" s="145"/>
      <c r="Q41" s="145"/>
      <c r="R41" s="145"/>
    </row>
    <row r="42" spans="1:21" ht="15.75" customHeight="1" x14ac:dyDescent="0.2">
      <c r="C42" s="64"/>
      <c r="E42" s="5">
        <v>31</v>
      </c>
      <c r="F42" s="5">
        <v>1</v>
      </c>
      <c r="G42" s="6" t="s">
        <v>98</v>
      </c>
      <c r="H42" s="5">
        <v>29</v>
      </c>
      <c r="I42" s="5" t="s">
        <v>27</v>
      </c>
      <c r="J42" s="5" t="s">
        <v>27</v>
      </c>
      <c r="K42" s="52" t="str">
        <f t="shared" si="0"/>
        <v>('Stickers', null,null,null),</v>
      </c>
      <c r="L42" s="2" t="s">
        <v>1</v>
      </c>
      <c r="M42" s="2" t="s">
        <v>225</v>
      </c>
      <c r="N42" s="2" t="s">
        <v>220</v>
      </c>
      <c r="O42" s="2" t="s">
        <v>229</v>
      </c>
      <c r="P42" s="15" t="s">
        <v>209</v>
      </c>
      <c r="Q42" s="2" t="s">
        <v>134</v>
      </c>
      <c r="R42" s="2" t="s">
        <v>3</v>
      </c>
    </row>
    <row r="43" spans="1:21" ht="15.75" customHeight="1" x14ac:dyDescent="0.2">
      <c r="A43" s="142" t="s">
        <v>128</v>
      </c>
      <c r="B43" s="143"/>
      <c r="C43" s="143"/>
      <c r="E43" s="5">
        <v>32</v>
      </c>
      <c r="F43" s="5">
        <v>1</v>
      </c>
      <c r="G43" s="5" t="s">
        <v>100</v>
      </c>
      <c r="H43" s="5">
        <v>29</v>
      </c>
      <c r="I43" s="5" t="s">
        <v>27</v>
      </c>
      <c r="J43" s="5" t="s">
        <v>27</v>
      </c>
      <c r="K43" s="52" t="str">
        <f t="shared" si="0"/>
        <v>('Regular', 29,null,null),</v>
      </c>
      <c r="L43" s="5">
        <v>1</v>
      </c>
      <c r="M43" s="5">
        <v>1</v>
      </c>
      <c r="N43" s="5">
        <v>3</v>
      </c>
      <c r="O43" s="5" t="s">
        <v>137</v>
      </c>
      <c r="P43" s="18">
        <v>2015</v>
      </c>
      <c r="Q43" s="5" t="s">
        <v>109</v>
      </c>
      <c r="R43" s="7">
        <v>42184.729108796295</v>
      </c>
    </row>
    <row r="44" spans="1:21" ht="15.75" customHeight="1" x14ac:dyDescent="0.2">
      <c r="A44" s="2" t="s">
        <v>1</v>
      </c>
      <c r="B44" s="2" t="s">
        <v>211</v>
      </c>
      <c r="C44" s="2" t="s">
        <v>212</v>
      </c>
      <c r="E44" s="5">
        <v>33</v>
      </c>
      <c r="F44" s="5">
        <v>1</v>
      </c>
      <c r="G44" s="6" t="s">
        <v>101</v>
      </c>
      <c r="H44" s="5" t="s">
        <v>27</v>
      </c>
      <c r="I44" s="5" t="s">
        <v>27</v>
      </c>
      <c r="J44" s="5" t="s">
        <v>27</v>
      </c>
      <c r="K44" s="52" t="str">
        <f t="shared" si="0"/>
        <v>('Repair', 29,null,null),</v>
      </c>
      <c r="L44" s="5">
        <v>2</v>
      </c>
      <c r="M44" s="5">
        <v>3</v>
      </c>
      <c r="N44" s="5">
        <v>1</v>
      </c>
      <c r="O44" s="5" t="s">
        <v>139</v>
      </c>
      <c r="P44" s="18">
        <v>2015</v>
      </c>
      <c r="Q44" s="5" t="s">
        <v>114</v>
      </c>
      <c r="R44" s="7">
        <v>42184.756469907406</v>
      </c>
    </row>
    <row r="45" spans="1:21" ht="12.75" x14ac:dyDescent="0.2">
      <c r="A45" s="5">
        <v>1</v>
      </c>
      <c r="B45" s="5" t="s">
        <v>131</v>
      </c>
      <c r="C45" s="5" t="s">
        <v>882</v>
      </c>
      <c r="E45" s="5">
        <v>34</v>
      </c>
      <c r="F45" s="5">
        <v>1</v>
      </c>
      <c r="G45" s="5" t="s">
        <v>104</v>
      </c>
      <c r="H45" s="5">
        <v>33</v>
      </c>
      <c r="I45" s="5" t="s">
        <v>27</v>
      </c>
      <c r="J45" s="5" t="s">
        <v>27</v>
      </c>
      <c r="K45" s="52" t="str">
        <f t="shared" si="0"/>
        <v>('Album', 29,null,null),</v>
      </c>
    </row>
    <row r="46" spans="1:21" ht="12.75" x14ac:dyDescent="0.2">
      <c r="A46" s="5">
        <v>2</v>
      </c>
      <c r="B46" s="5" t="s">
        <v>132</v>
      </c>
      <c r="C46" s="5" t="s">
        <v>883</v>
      </c>
      <c r="K46" s="52" t="str">
        <f t="shared" si="0"/>
        <v>('Designing', null,null,null),</v>
      </c>
      <c r="L46" s="144" t="s">
        <v>773</v>
      </c>
      <c r="M46" s="145"/>
      <c r="N46" s="145"/>
      <c r="O46" s="145"/>
      <c r="P46" s="145"/>
      <c r="Q46" s="145"/>
      <c r="R46" s="145"/>
    </row>
    <row r="47" spans="1:21" ht="12.75" x14ac:dyDescent="0.2">
      <c r="A47" s="5">
        <v>3</v>
      </c>
      <c r="B47" s="5" t="s">
        <v>133</v>
      </c>
      <c r="C47" s="5" t="s">
        <v>884</v>
      </c>
      <c r="E47" s="144" t="s">
        <v>64</v>
      </c>
      <c r="F47" s="145"/>
      <c r="G47" s="145"/>
      <c r="H47" s="145"/>
      <c r="K47" s="52" t="str">
        <f t="shared" si="0"/>
        <v>('Sheet', 33,null,null),</v>
      </c>
      <c r="L47" s="2" t="s">
        <v>1</v>
      </c>
      <c r="M47" s="2" t="s">
        <v>225</v>
      </c>
      <c r="N47" s="2" t="s">
        <v>226</v>
      </c>
      <c r="O47" s="2" t="s">
        <v>229</v>
      </c>
      <c r="P47" s="15" t="s">
        <v>209</v>
      </c>
      <c r="Q47" s="2" t="s">
        <v>134</v>
      </c>
      <c r="R47" s="2" t="s">
        <v>3</v>
      </c>
    </row>
    <row r="48" spans="1:21" ht="12.75" x14ac:dyDescent="0.2">
      <c r="A48" s="5">
        <v>4</v>
      </c>
      <c r="B48" s="5" t="s">
        <v>135</v>
      </c>
      <c r="C48" s="5" t="s">
        <v>885</v>
      </c>
      <c r="E48" s="2" t="s">
        <v>1</v>
      </c>
      <c r="F48" s="2" t="s">
        <v>228</v>
      </c>
      <c r="G48" s="2" t="s">
        <v>215</v>
      </c>
      <c r="H48" s="2" t="s">
        <v>214</v>
      </c>
      <c r="K48" t="s">
        <v>778</v>
      </c>
      <c r="L48" s="5">
        <v>1</v>
      </c>
      <c r="M48" s="5">
        <v>1</v>
      </c>
      <c r="N48" s="5">
        <v>3</v>
      </c>
      <c r="O48" s="5" t="s">
        <v>137</v>
      </c>
      <c r="P48" s="18">
        <v>2015</v>
      </c>
      <c r="Q48" s="5" t="s">
        <v>138</v>
      </c>
      <c r="R48" s="7">
        <v>42184.729108796295</v>
      </c>
    </row>
    <row r="49" spans="1:25" ht="12.75" x14ac:dyDescent="0.2">
      <c r="A49" s="5">
        <v>5</v>
      </c>
      <c r="B49" s="5" t="s">
        <v>136</v>
      </c>
      <c r="C49" s="5" t="s">
        <v>886</v>
      </c>
      <c r="E49" s="5">
        <v>1</v>
      </c>
      <c r="F49" s="5">
        <v>2</v>
      </c>
      <c r="G49" s="5">
        <v>2</v>
      </c>
      <c r="H49" s="55">
        <f t="shared" ref="H49:H72" si="1">FLOOR(I49*3/2,5)</f>
        <v>90</v>
      </c>
      <c r="I49" s="1">
        <v>60</v>
      </c>
      <c r="J49" s="1"/>
      <c r="L49" s="5">
        <v>2</v>
      </c>
      <c r="M49" s="5">
        <v>3</v>
      </c>
      <c r="N49" s="5">
        <v>1</v>
      </c>
      <c r="O49" s="5" t="s">
        <v>139</v>
      </c>
      <c r="P49" s="18">
        <v>2015</v>
      </c>
      <c r="Q49" s="5" t="s">
        <v>140</v>
      </c>
      <c r="R49" s="7">
        <v>42184.756469907406</v>
      </c>
    </row>
    <row r="50" spans="1:25" ht="12.75" x14ac:dyDescent="0.2">
      <c r="C50" s="64"/>
      <c r="E50" s="5">
        <v>3</v>
      </c>
      <c r="F50" s="5">
        <v>3</v>
      </c>
      <c r="G50" s="5">
        <v>2</v>
      </c>
      <c r="H50" s="55">
        <f t="shared" si="1"/>
        <v>105</v>
      </c>
      <c r="I50" s="1">
        <v>70</v>
      </c>
      <c r="J50" s="1"/>
      <c r="K50" s="52" t="str">
        <f>CONCATENATE("Insert into `",E47,"` (service_id,size_id,rate) Values ")</f>
        <v xml:space="preserve">Insert into `prices` (service_id,size_id,rate) Values </v>
      </c>
    </row>
    <row r="51" spans="1:25" ht="12.75" x14ac:dyDescent="0.2">
      <c r="C51" s="64"/>
      <c r="E51" s="5">
        <v>4</v>
      </c>
      <c r="F51" s="5">
        <v>4</v>
      </c>
      <c r="G51" s="5">
        <v>2</v>
      </c>
      <c r="H51" s="55">
        <f t="shared" si="1"/>
        <v>135</v>
      </c>
      <c r="I51" s="1">
        <v>90</v>
      </c>
      <c r="J51" s="1"/>
      <c r="K51" s="52" t="str">
        <f>CONCATENATE("(",F49,", ", G49, ",", H49, ".00),")</f>
        <v>(2, 2,90.00),</v>
      </c>
      <c r="L51" s="144" t="s">
        <v>774</v>
      </c>
      <c r="M51" s="145"/>
      <c r="N51" s="145"/>
      <c r="O51" s="145"/>
      <c r="P51" s="145"/>
      <c r="Q51" s="145"/>
      <c r="R51" s="145"/>
      <c r="S51" s="145"/>
      <c r="T51" s="145"/>
    </row>
    <row r="52" spans="1:25" ht="12.75" x14ac:dyDescent="0.2">
      <c r="C52" s="64"/>
      <c r="E52" s="5">
        <v>5</v>
      </c>
      <c r="F52" s="5">
        <v>5</v>
      </c>
      <c r="G52" s="5">
        <v>2</v>
      </c>
      <c r="H52" s="55">
        <f t="shared" si="1"/>
        <v>135</v>
      </c>
      <c r="I52" s="1">
        <v>90</v>
      </c>
      <c r="J52" s="1"/>
      <c r="K52" s="52" t="str">
        <f t="shared" ref="K52:K74" si="2">CONCATENATE("(",F50,", ", G50, ",", H50, ".00),")</f>
        <v>(3, 2,105.00),</v>
      </c>
      <c r="L52" s="2" t="s">
        <v>1</v>
      </c>
      <c r="M52" s="2" t="s">
        <v>225</v>
      </c>
      <c r="N52" s="2" t="s">
        <v>227</v>
      </c>
      <c r="O52" s="2" t="s">
        <v>229</v>
      </c>
      <c r="P52" s="15" t="s">
        <v>209</v>
      </c>
      <c r="Q52" s="2" t="s">
        <v>134</v>
      </c>
      <c r="R52" s="2" t="s">
        <v>230</v>
      </c>
      <c r="S52" s="2" t="s">
        <v>231</v>
      </c>
      <c r="T52" s="2" t="s">
        <v>3</v>
      </c>
    </row>
    <row r="53" spans="1:25" ht="12.75" x14ac:dyDescent="0.2">
      <c r="C53" s="64"/>
      <c r="E53" s="5">
        <v>6</v>
      </c>
      <c r="F53" s="5">
        <v>6</v>
      </c>
      <c r="G53" s="5">
        <v>2</v>
      </c>
      <c r="H53" s="55">
        <f t="shared" si="1"/>
        <v>105</v>
      </c>
      <c r="I53" s="1">
        <v>70</v>
      </c>
      <c r="J53" s="1"/>
      <c r="K53" s="52" t="str">
        <f t="shared" si="2"/>
        <v>(4, 2,135.00),</v>
      </c>
      <c r="L53" s="5">
        <v>1</v>
      </c>
      <c r="M53" s="5">
        <v>1</v>
      </c>
      <c r="N53" s="5">
        <v>3</v>
      </c>
      <c r="O53" s="5" t="s">
        <v>137</v>
      </c>
      <c r="P53" s="18">
        <v>2015</v>
      </c>
      <c r="Q53" s="5" t="s">
        <v>141</v>
      </c>
      <c r="R53" s="5">
        <v>100</v>
      </c>
      <c r="S53" s="5">
        <v>1</v>
      </c>
      <c r="T53" s="7">
        <v>42184.729108796295</v>
      </c>
    </row>
    <row r="54" spans="1:25" ht="12.75" x14ac:dyDescent="0.2">
      <c r="C54" s="64"/>
      <c r="E54" s="5">
        <v>7</v>
      </c>
      <c r="F54" s="5">
        <v>7</v>
      </c>
      <c r="G54" s="5">
        <v>2</v>
      </c>
      <c r="H54" s="55">
        <f t="shared" si="1"/>
        <v>135</v>
      </c>
      <c r="I54" s="1">
        <v>90</v>
      </c>
      <c r="J54" s="1"/>
      <c r="K54" s="52" t="str">
        <f t="shared" si="2"/>
        <v>(5, 2,135.00),</v>
      </c>
      <c r="L54" s="5">
        <v>2</v>
      </c>
      <c r="M54" s="5">
        <v>3</v>
      </c>
      <c r="N54" s="5">
        <v>1</v>
      </c>
      <c r="O54" s="5" t="s">
        <v>139</v>
      </c>
      <c r="P54" s="18">
        <v>2015</v>
      </c>
      <c r="Q54" s="5" t="s">
        <v>142</v>
      </c>
      <c r="R54" s="5">
        <v>200</v>
      </c>
      <c r="S54" s="5">
        <v>2</v>
      </c>
      <c r="T54" s="7">
        <v>42184.756469907406</v>
      </c>
    </row>
    <row r="55" spans="1:25" ht="12.75" x14ac:dyDescent="0.2">
      <c r="C55" s="64"/>
      <c r="E55" s="5">
        <v>8</v>
      </c>
      <c r="F55" s="5">
        <v>10</v>
      </c>
      <c r="G55" s="5">
        <v>2</v>
      </c>
      <c r="H55" s="55">
        <f t="shared" si="1"/>
        <v>525</v>
      </c>
      <c r="I55" s="1">
        <v>350</v>
      </c>
      <c r="J55" s="1"/>
      <c r="K55" s="52" t="str">
        <f t="shared" si="2"/>
        <v>(6, 2,105.00),</v>
      </c>
    </row>
    <row r="56" spans="1:25" ht="12.75" x14ac:dyDescent="0.2">
      <c r="C56" s="64"/>
      <c r="E56" s="5">
        <v>9</v>
      </c>
      <c r="F56" s="5">
        <v>11</v>
      </c>
      <c r="G56" s="5">
        <v>2</v>
      </c>
      <c r="H56" s="55">
        <f t="shared" si="1"/>
        <v>90</v>
      </c>
      <c r="I56" s="1">
        <v>60</v>
      </c>
      <c r="J56" s="1"/>
      <c r="K56" s="52" t="str">
        <f t="shared" si="2"/>
        <v>(7, 2,135.00),</v>
      </c>
      <c r="L56" s="144" t="s">
        <v>772</v>
      </c>
      <c r="M56" s="145"/>
      <c r="N56" s="145"/>
      <c r="O56" s="145"/>
      <c r="P56" s="145"/>
      <c r="Q56" s="145"/>
      <c r="R56" s="145"/>
      <c r="S56" s="145"/>
      <c r="T56" s="145"/>
      <c r="U56" s="145"/>
      <c r="V56" s="145"/>
    </row>
    <row r="57" spans="1:25" ht="15.75" customHeight="1" x14ac:dyDescent="0.2">
      <c r="C57" s="64"/>
      <c r="E57" s="5">
        <v>10</v>
      </c>
      <c r="F57" s="5">
        <v>12</v>
      </c>
      <c r="G57" s="5">
        <v>2</v>
      </c>
      <c r="H57" s="55">
        <f t="shared" si="1"/>
        <v>150</v>
      </c>
      <c r="I57" s="1">
        <v>100</v>
      </c>
      <c r="J57" s="1"/>
      <c r="K57" s="52" t="str">
        <f t="shared" si="2"/>
        <v>(10, 2,525.00),</v>
      </c>
      <c r="L57" s="2" t="s">
        <v>1</v>
      </c>
      <c r="M57" s="2" t="s">
        <v>225</v>
      </c>
      <c r="N57" s="2" t="s">
        <v>228</v>
      </c>
      <c r="O57" s="2" t="s">
        <v>229</v>
      </c>
      <c r="P57" s="2" t="s">
        <v>92</v>
      </c>
      <c r="Q57" s="2" t="s">
        <v>134</v>
      </c>
      <c r="R57" s="2" t="s">
        <v>232</v>
      </c>
      <c r="S57" s="2" t="s">
        <v>233</v>
      </c>
      <c r="T57" s="2" t="s">
        <v>234</v>
      </c>
      <c r="U57" s="2" t="s">
        <v>235</v>
      </c>
      <c r="V57" s="2" t="s">
        <v>144</v>
      </c>
      <c r="W57" s="34" t="s">
        <v>181</v>
      </c>
      <c r="X57" s="2" t="s">
        <v>145</v>
      </c>
      <c r="Y57" s="2" t="s">
        <v>3</v>
      </c>
    </row>
    <row r="58" spans="1:25" ht="12.75" x14ac:dyDescent="0.2">
      <c r="C58" s="64"/>
      <c r="E58" s="5">
        <v>11</v>
      </c>
      <c r="F58" s="5">
        <v>13</v>
      </c>
      <c r="G58" s="5">
        <v>2</v>
      </c>
      <c r="H58" s="55">
        <f t="shared" si="1"/>
        <v>525</v>
      </c>
      <c r="I58" s="1">
        <v>350</v>
      </c>
      <c r="J58" s="1"/>
      <c r="K58" s="52" t="str">
        <f t="shared" si="2"/>
        <v>(11, 2,90.00),</v>
      </c>
      <c r="L58" s="5">
        <v>1</v>
      </c>
      <c r="M58" s="5">
        <v>1</v>
      </c>
      <c r="N58" s="5">
        <v>3</v>
      </c>
      <c r="O58" s="5" t="s">
        <v>137</v>
      </c>
      <c r="P58" s="5">
        <v>10</v>
      </c>
      <c r="Q58" s="5" t="s">
        <v>138</v>
      </c>
      <c r="R58" s="5">
        <v>1</v>
      </c>
      <c r="S58" s="5">
        <v>1</v>
      </c>
      <c r="T58" s="5">
        <v>1600</v>
      </c>
      <c r="U58" s="5">
        <v>1</v>
      </c>
      <c r="V58" s="5">
        <v>300</v>
      </c>
      <c r="W58" s="5"/>
      <c r="X58" s="5" t="s">
        <v>146</v>
      </c>
      <c r="Y58" s="7">
        <v>42184.729108796295</v>
      </c>
    </row>
    <row r="59" spans="1:25" ht="12.75" x14ac:dyDescent="0.2">
      <c r="C59" s="64"/>
      <c r="E59" s="5">
        <v>12</v>
      </c>
      <c r="F59" s="5">
        <v>14</v>
      </c>
      <c r="G59" s="5">
        <v>2</v>
      </c>
      <c r="H59" s="55">
        <f t="shared" si="1"/>
        <v>900</v>
      </c>
      <c r="I59" s="1">
        <v>600</v>
      </c>
      <c r="J59" s="1"/>
      <c r="K59" s="52" t="str">
        <f t="shared" si="2"/>
        <v>(12, 2,150.00),</v>
      </c>
      <c r="L59" s="5">
        <v>2</v>
      </c>
      <c r="M59" s="5">
        <v>3</v>
      </c>
      <c r="N59" s="5">
        <v>1</v>
      </c>
      <c r="O59" s="5" t="s">
        <v>139</v>
      </c>
      <c r="P59" s="5">
        <v>1</v>
      </c>
      <c r="Q59" s="5" t="s">
        <v>140</v>
      </c>
      <c r="R59" s="5">
        <v>1</v>
      </c>
      <c r="S59" s="5">
        <v>5</v>
      </c>
      <c r="T59" s="5">
        <v>3000</v>
      </c>
      <c r="U59" s="5">
        <v>5</v>
      </c>
      <c r="V59" s="5">
        <v>100</v>
      </c>
      <c r="W59" s="35" t="s">
        <v>182</v>
      </c>
      <c r="X59" s="5"/>
      <c r="Y59" s="7">
        <v>42184.756469907406</v>
      </c>
    </row>
    <row r="60" spans="1:25" ht="12.75" x14ac:dyDescent="0.2">
      <c r="C60" s="64"/>
      <c r="E60" s="5">
        <v>13</v>
      </c>
      <c r="F60" s="5">
        <v>16</v>
      </c>
      <c r="G60" s="5">
        <v>2</v>
      </c>
      <c r="H60" s="55">
        <f t="shared" si="1"/>
        <v>75</v>
      </c>
      <c r="I60" s="1">
        <v>50</v>
      </c>
      <c r="J60" s="1"/>
      <c r="K60" s="52" t="str">
        <f t="shared" si="2"/>
        <v>(13, 2,525.00),</v>
      </c>
    </row>
    <row r="61" spans="1:25" ht="12.75" x14ac:dyDescent="0.2">
      <c r="C61" s="64"/>
      <c r="E61" s="5">
        <v>14</v>
      </c>
      <c r="F61" s="5">
        <v>17</v>
      </c>
      <c r="G61" s="5">
        <v>2</v>
      </c>
      <c r="H61" s="55">
        <f t="shared" si="1"/>
        <v>225</v>
      </c>
      <c r="I61" s="1">
        <v>150</v>
      </c>
      <c r="J61" s="1"/>
      <c r="K61" s="52" t="str">
        <f t="shared" si="2"/>
        <v>(14, 2,900.00),</v>
      </c>
    </row>
    <row r="62" spans="1:25" ht="15.75" customHeight="1" x14ac:dyDescent="0.2">
      <c r="C62" s="64"/>
      <c r="E62" s="5">
        <v>15</v>
      </c>
      <c r="F62" s="5">
        <v>18</v>
      </c>
      <c r="G62" s="5">
        <v>2</v>
      </c>
      <c r="H62" s="55">
        <f t="shared" si="1"/>
        <v>225</v>
      </c>
      <c r="I62" s="1">
        <v>150</v>
      </c>
      <c r="J62" s="1"/>
      <c r="K62" s="52" t="str">
        <f t="shared" si="2"/>
        <v>(16, 2,75.00),</v>
      </c>
    </row>
    <row r="63" spans="1:25" ht="12.75" x14ac:dyDescent="0.2">
      <c r="C63" s="64"/>
      <c r="E63" s="5">
        <v>16</v>
      </c>
      <c r="F63" s="5">
        <v>19</v>
      </c>
      <c r="G63" s="5">
        <v>2</v>
      </c>
      <c r="H63" s="55">
        <f t="shared" si="1"/>
        <v>900</v>
      </c>
      <c r="I63" s="1">
        <v>600</v>
      </c>
      <c r="J63" s="1"/>
      <c r="K63" s="52" t="str">
        <f t="shared" si="2"/>
        <v>(17, 2,225.00),</v>
      </c>
    </row>
    <row r="64" spans="1:25" ht="12.75" x14ac:dyDescent="0.2">
      <c r="C64" s="64"/>
      <c r="E64" s="5">
        <v>17</v>
      </c>
      <c r="F64" s="5">
        <v>21</v>
      </c>
      <c r="G64" s="5">
        <v>3</v>
      </c>
      <c r="H64" s="55">
        <f t="shared" si="1"/>
        <v>30</v>
      </c>
      <c r="I64" s="1">
        <v>20</v>
      </c>
      <c r="J64" s="1"/>
      <c r="K64" s="52" t="str">
        <f t="shared" si="2"/>
        <v>(18, 2,225.00),</v>
      </c>
      <c r="L64" s="144" t="s">
        <v>236</v>
      </c>
      <c r="M64" s="145"/>
      <c r="N64" s="145"/>
    </row>
    <row r="65" spans="3:32" ht="12.75" x14ac:dyDescent="0.2">
      <c r="C65" s="64"/>
      <c r="E65" s="5">
        <v>18</v>
      </c>
      <c r="F65" s="5">
        <v>22</v>
      </c>
      <c r="G65" s="5">
        <v>3</v>
      </c>
      <c r="H65" s="55">
        <f t="shared" si="1"/>
        <v>45</v>
      </c>
      <c r="I65" s="1">
        <v>30</v>
      </c>
      <c r="J65" s="1"/>
      <c r="K65" s="52" t="str">
        <f t="shared" si="2"/>
        <v>(19, 2,900.00),</v>
      </c>
      <c r="L65" s="29" t="s">
        <v>1</v>
      </c>
      <c r="M65" s="29" t="s">
        <v>147</v>
      </c>
      <c r="N65" s="29" t="s">
        <v>148</v>
      </c>
      <c r="O65" s="29" t="s">
        <v>149</v>
      </c>
      <c r="P65" s="29" t="s">
        <v>150</v>
      </c>
      <c r="Q65" s="29" t="s">
        <v>151</v>
      </c>
      <c r="R65" s="29" t="s">
        <v>152</v>
      </c>
      <c r="S65" s="29" t="s">
        <v>153</v>
      </c>
      <c r="T65" s="29" t="s">
        <v>154</v>
      </c>
      <c r="U65" s="29" t="s">
        <v>155</v>
      </c>
      <c r="V65" s="29" t="s">
        <v>156</v>
      </c>
      <c r="W65" s="30" t="s">
        <v>21</v>
      </c>
      <c r="X65" s="30" t="s">
        <v>18</v>
      </c>
      <c r="Y65" s="30" t="s">
        <v>19</v>
      </c>
      <c r="Z65" s="29" t="s">
        <v>157</v>
      </c>
      <c r="AA65" s="29" t="s">
        <v>158</v>
      </c>
      <c r="AB65" s="29" t="s">
        <v>159</v>
      </c>
      <c r="AC65" s="29" t="s">
        <v>160</v>
      </c>
      <c r="AD65" s="29" t="s">
        <v>161</v>
      </c>
      <c r="AE65" s="29" t="s">
        <v>3</v>
      </c>
      <c r="AF65" s="29" t="s">
        <v>162</v>
      </c>
    </row>
    <row r="66" spans="3:32" ht="12.75" x14ac:dyDescent="0.2">
      <c r="C66" s="64"/>
      <c r="E66" s="5">
        <v>19</v>
      </c>
      <c r="F66" s="5">
        <v>24</v>
      </c>
      <c r="G66" s="5">
        <v>3</v>
      </c>
      <c r="H66" s="55">
        <f t="shared" si="1"/>
        <v>30</v>
      </c>
      <c r="I66" s="1">
        <v>20</v>
      </c>
      <c r="J66" s="1"/>
      <c r="K66" s="52" t="str">
        <f t="shared" si="2"/>
        <v>(21, 3,30.00),</v>
      </c>
      <c r="L66" s="5">
        <v>1</v>
      </c>
      <c r="M66" s="5" t="s">
        <v>163</v>
      </c>
      <c r="N66" s="5" t="s">
        <v>163</v>
      </c>
      <c r="O66" s="5" t="s">
        <v>163</v>
      </c>
      <c r="P66" s="5" t="s">
        <v>163</v>
      </c>
      <c r="Q66" s="5" t="s">
        <v>163</v>
      </c>
      <c r="R66" s="5" t="s">
        <v>163</v>
      </c>
      <c r="S66" s="5">
        <v>1</v>
      </c>
      <c r="T66" s="5" t="s">
        <v>164</v>
      </c>
      <c r="U66" s="5" t="s">
        <v>165</v>
      </c>
      <c r="V66" s="5" t="s">
        <v>166</v>
      </c>
      <c r="W66" s="5" t="s">
        <v>167</v>
      </c>
      <c r="X66" s="5" t="s">
        <v>168</v>
      </c>
      <c r="Y66" s="5"/>
      <c r="Z66" s="5">
        <v>1</v>
      </c>
      <c r="AA66" s="5">
        <v>1</v>
      </c>
      <c r="AB66" s="28">
        <v>42187.454479166663</v>
      </c>
      <c r="AC66" s="5">
        <v>0</v>
      </c>
      <c r="AD66" s="5"/>
      <c r="AE66" s="28">
        <v>42182.626018518517</v>
      </c>
      <c r="AF66" s="28">
        <v>42182.626018518517</v>
      </c>
    </row>
    <row r="67" spans="3:32" ht="15.75" customHeight="1" x14ac:dyDescent="0.2">
      <c r="C67" s="64"/>
      <c r="E67" s="5">
        <v>20</v>
      </c>
      <c r="F67" s="5">
        <v>25</v>
      </c>
      <c r="G67" s="5">
        <v>3</v>
      </c>
      <c r="H67" s="55">
        <f t="shared" si="1"/>
        <v>45</v>
      </c>
      <c r="I67" s="1">
        <v>30</v>
      </c>
      <c r="J67" s="1"/>
      <c r="K67" s="52" t="str">
        <f t="shared" si="2"/>
        <v>(22, 3,45.00),</v>
      </c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</row>
    <row r="68" spans="3:32" ht="15.75" customHeight="1" x14ac:dyDescent="0.2">
      <c r="C68" s="64"/>
      <c r="E68" s="5">
        <v>21</v>
      </c>
      <c r="F68" s="5">
        <v>27</v>
      </c>
      <c r="G68" s="5">
        <v>2</v>
      </c>
      <c r="H68" s="55">
        <f t="shared" si="1"/>
        <v>35</v>
      </c>
      <c r="I68" s="1">
        <v>25</v>
      </c>
      <c r="J68" s="1"/>
      <c r="K68" s="52" t="str">
        <f t="shared" si="2"/>
        <v>(24, 3,30.00),</v>
      </c>
      <c r="L68" s="144" t="s">
        <v>237</v>
      </c>
      <c r="M68" s="145"/>
      <c r="N68" s="145"/>
    </row>
    <row r="69" spans="3:32" ht="15.75" customHeight="1" x14ac:dyDescent="0.2">
      <c r="C69" s="64"/>
      <c r="E69" s="5">
        <v>22</v>
      </c>
      <c r="F69" s="5">
        <v>28</v>
      </c>
      <c r="G69" s="5">
        <v>2</v>
      </c>
      <c r="H69" s="55">
        <f t="shared" si="1"/>
        <v>50</v>
      </c>
      <c r="I69" s="1">
        <v>35</v>
      </c>
      <c r="J69" s="1"/>
      <c r="K69" s="52" t="str">
        <f t="shared" si="2"/>
        <v>(25, 3,45.00),</v>
      </c>
      <c r="L69" s="29" t="s">
        <v>1</v>
      </c>
      <c r="M69" s="29" t="s">
        <v>4</v>
      </c>
      <c r="N69" s="30" t="s">
        <v>169</v>
      </c>
      <c r="O69" s="30" t="s">
        <v>170</v>
      </c>
      <c r="P69" s="30" t="s">
        <v>171</v>
      </c>
      <c r="Q69" s="30" t="s">
        <v>172</v>
      </c>
      <c r="R69" s="30" t="s">
        <v>173</v>
      </c>
      <c r="S69" s="30" t="s">
        <v>174</v>
      </c>
      <c r="T69" s="29" t="s">
        <v>175</v>
      </c>
      <c r="U69" s="29" t="s">
        <v>3</v>
      </c>
      <c r="V69" s="29" t="s">
        <v>162</v>
      </c>
      <c r="W69" s="31" t="s">
        <v>22</v>
      </c>
      <c r="X69" s="31" t="s">
        <v>23</v>
      </c>
    </row>
    <row r="70" spans="3:32" ht="15.75" customHeight="1" x14ac:dyDescent="0.2">
      <c r="C70" s="64"/>
      <c r="E70" s="5">
        <v>23</v>
      </c>
      <c r="F70" s="5">
        <v>30</v>
      </c>
      <c r="G70" s="5">
        <v>1</v>
      </c>
      <c r="H70" s="55">
        <f t="shared" si="1"/>
        <v>30</v>
      </c>
      <c r="I70" s="1">
        <v>20</v>
      </c>
      <c r="J70" s="1"/>
      <c r="K70" s="52" t="str">
        <f t="shared" si="2"/>
        <v>(27, 2,35.00),</v>
      </c>
      <c r="L70" s="5">
        <v>1</v>
      </c>
      <c r="M70" s="5">
        <v>1</v>
      </c>
      <c r="N70" s="5" t="s">
        <v>176</v>
      </c>
      <c r="O70" s="5"/>
      <c r="P70" s="9">
        <v>31442</v>
      </c>
      <c r="Q70" s="5"/>
      <c r="R70" s="5" t="s">
        <v>177</v>
      </c>
      <c r="S70" s="5"/>
      <c r="T70" s="5"/>
      <c r="U70" s="28">
        <v>42182.626018518517</v>
      </c>
      <c r="V70" s="28">
        <v>42182.626018518517</v>
      </c>
      <c r="W70" s="32" t="s">
        <v>30</v>
      </c>
      <c r="X70" s="38">
        <v>40179</v>
      </c>
    </row>
    <row r="71" spans="3:32" ht="15.75" customHeight="1" x14ac:dyDescent="0.2">
      <c r="C71" s="64"/>
      <c r="E71" s="5">
        <v>24</v>
      </c>
      <c r="F71" s="5">
        <v>32</v>
      </c>
      <c r="G71" s="5">
        <v>1</v>
      </c>
      <c r="H71" s="55">
        <f t="shared" si="1"/>
        <v>450</v>
      </c>
      <c r="I71" s="1">
        <v>300</v>
      </c>
      <c r="J71" s="1"/>
      <c r="K71" s="52" t="str">
        <f t="shared" si="2"/>
        <v>(28, 2,50.00),</v>
      </c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32" t="s">
        <v>30</v>
      </c>
      <c r="X71" s="38">
        <v>40179</v>
      </c>
    </row>
    <row r="72" spans="3:32" ht="15.75" customHeight="1" x14ac:dyDescent="0.2">
      <c r="C72" s="64"/>
      <c r="E72" s="5">
        <v>25</v>
      </c>
      <c r="F72" s="5">
        <v>34</v>
      </c>
      <c r="G72" s="5">
        <v>2</v>
      </c>
      <c r="H72" s="55">
        <f t="shared" si="1"/>
        <v>90</v>
      </c>
      <c r="I72" s="1">
        <v>60</v>
      </c>
      <c r="J72" s="1"/>
      <c r="K72" s="52" t="str">
        <f t="shared" si="2"/>
        <v>(30, 1,30.00),</v>
      </c>
      <c r="W72" s="27"/>
      <c r="X72" s="27"/>
    </row>
    <row r="73" spans="3:32" ht="15.75" customHeight="1" x14ac:dyDescent="0.2">
      <c r="C73" s="64"/>
      <c r="E73" s="1"/>
      <c r="F73" s="1"/>
      <c r="G73" s="1"/>
      <c r="K73" s="52" t="str">
        <f t="shared" si="2"/>
        <v>(32, 1,450.00),</v>
      </c>
    </row>
    <row r="74" spans="3:32" ht="15.75" customHeight="1" x14ac:dyDescent="0.2">
      <c r="C74" s="64"/>
      <c r="K74" s="52" t="str">
        <f t="shared" si="2"/>
        <v>(34, 2,90.00),</v>
      </c>
    </row>
    <row r="75" spans="3:32" ht="15.75" customHeight="1" x14ac:dyDescent="0.2">
      <c r="C75" s="64"/>
      <c r="K75" s="52"/>
    </row>
    <row r="76" spans="3:32" ht="15.75" customHeight="1" x14ac:dyDescent="0.2">
      <c r="C76" s="64"/>
      <c r="K76" s="52"/>
      <c r="L76" s="147" t="s">
        <v>183</v>
      </c>
      <c r="M76" s="147"/>
      <c r="N76" s="147"/>
      <c r="O76" s="147"/>
      <c r="P76" s="147"/>
      <c r="Q76" s="147"/>
      <c r="R76" s="27"/>
      <c r="S76" s="27"/>
      <c r="T76" s="27"/>
    </row>
    <row r="77" spans="3:32" ht="15.75" customHeight="1" x14ac:dyDescent="0.2">
      <c r="C77" s="64"/>
      <c r="K77" s="52"/>
      <c r="L77" s="2" t="s">
        <v>1</v>
      </c>
      <c r="M77" s="2" t="s">
        <v>227</v>
      </c>
      <c r="N77" s="2" t="s">
        <v>211</v>
      </c>
      <c r="O77" s="2" t="s">
        <v>20</v>
      </c>
      <c r="P77" s="2" t="s">
        <v>21</v>
      </c>
      <c r="Q77" s="2" t="s">
        <v>213</v>
      </c>
      <c r="R77" s="2" t="s">
        <v>3</v>
      </c>
    </row>
    <row r="78" spans="3:32" ht="15.75" customHeight="1" x14ac:dyDescent="0.2">
      <c r="C78" s="64"/>
      <c r="K78" s="52"/>
      <c r="L78" s="5">
        <v>1</v>
      </c>
      <c r="M78" s="5">
        <v>1</v>
      </c>
      <c r="N78" s="5" t="s">
        <v>184</v>
      </c>
      <c r="O78" s="10"/>
      <c r="P78" s="10"/>
      <c r="Q78" s="10">
        <v>1</v>
      </c>
      <c r="R78" s="10"/>
    </row>
    <row r="79" spans="3:32" ht="15.75" customHeight="1" x14ac:dyDescent="0.2">
      <c r="C79" s="64"/>
      <c r="E79" s="1"/>
      <c r="F79" s="1"/>
      <c r="G79" s="1"/>
      <c r="K79" s="52"/>
      <c r="L79" s="5">
        <v>2</v>
      </c>
      <c r="M79" s="5">
        <v>2</v>
      </c>
      <c r="N79" s="5" t="s">
        <v>185</v>
      </c>
      <c r="O79" s="10"/>
      <c r="P79" s="10"/>
      <c r="Q79" s="10">
        <v>1</v>
      </c>
      <c r="R79" s="10"/>
    </row>
    <row r="80" spans="3:32" ht="15.75" customHeight="1" x14ac:dyDescent="0.2">
      <c r="C80" s="64"/>
      <c r="E80" s="1"/>
      <c r="F80" s="1"/>
      <c r="G80" s="1"/>
      <c r="K80" s="52"/>
      <c r="L80" s="5">
        <v>3</v>
      </c>
      <c r="M80" s="5">
        <v>3</v>
      </c>
      <c r="N80" s="5" t="s">
        <v>186</v>
      </c>
      <c r="O80" s="10"/>
      <c r="P80" s="10"/>
      <c r="Q80" s="10">
        <v>1</v>
      </c>
      <c r="R80" s="10"/>
    </row>
    <row r="81" spans="3:18" ht="15.75" customHeight="1" x14ac:dyDescent="0.2">
      <c r="C81" s="64"/>
      <c r="E81" s="1"/>
      <c r="F81" s="1"/>
      <c r="G81" s="1"/>
      <c r="K81" s="52"/>
      <c r="L81" s="5">
        <v>4</v>
      </c>
      <c r="M81" s="5">
        <v>4</v>
      </c>
      <c r="N81" s="5" t="s">
        <v>187</v>
      </c>
      <c r="O81" s="10"/>
      <c r="P81" s="10"/>
      <c r="Q81" s="10">
        <v>1</v>
      </c>
      <c r="R81" s="10"/>
    </row>
    <row r="82" spans="3:18" ht="15.75" customHeight="1" x14ac:dyDescent="0.2">
      <c r="C82" s="64"/>
      <c r="E82" s="1"/>
      <c r="F82" s="1"/>
      <c r="G82" s="1"/>
    </row>
    <row r="83" spans="3:18" ht="15.75" customHeight="1" x14ac:dyDescent="0.2">
      <c r="C83" s="64"/>
      <c r="E83" s="1"/>
      <c r="F83" s="1"/>
      <c r="G83" s="1"/>
    </row>
    <row r="84" spans="3:18" ht="15.75" customHeight="1" x14ac:dyDescent="0.2">
      <c r="C84" s="64"/>
      <c r="E84" s="1"/>
      <c r="F84" s="1"/>
      <c r="G84" s="1"/>
      <c r="L84" s="147" t="s">
        <v>188</v>
      </c>
      <c r="M84" s="147"/>
      <c r="N84" s="147"/>
      <c r="O84" s="147"/>
      <c r="P84" s="147"/>
      <c r="Q84" s="147"/>
    </row>
    <row r="85" spans="3:18" ht="15.75" customHeight="1" x14ac:dyDescent="0.2">
      <c r="C85" s="64"/>
      <c r="E85" s="1"/>
      <c r="F85" s="1"/>
      <c r="G85" s="1"/>
      <c r="L85" s="2" t="s">
        <v>1</v>
      </c>
      <c r="M85" s="2" t="s">
        <v>211</v>
      </c>
      <c r="N85" s="2" t="s">
        <v>134</v>
      </c>
      <c r="O85" s="36" t="s">
        <v>210</v>
      </c>
      <c r="P85" s="2" t="s">
        <v>213</v>
      </c>
      <c r="Q85" s="2" t="s">
        <v>3</v>
      </c>
    </row>
    <row r="86" spans="3:18" ht="15.75" customHeight="1" x14ac:dyDescent="0.2">
      <c r="C86" s="64"/>
      <c r="L86" s="5">
        <v>1</v>
      </c>
      <c r="M86" s="5" t="s">
        <v>189</v>
      </c>
      <c r="N86" s="5"/>
      <c r="O86" s="37"/>
      <c r="P86" s="10">
        <v>1</v>
      </c>
      <c r="Q86" s="10"/>
    </row>
    <row r="87" spans="3:18" ht="15.75" customHeight="1" x14ac:dyDescent="0.2">
      <c r="C87" s="64"/>
      <c r="L87" s="5">
        <v>2</v>
      </c>
      <c r="M87" s="5" t="s">
        <v>190</v>
      </c>
      <c r="N87" s="5"/>
      <c r="O87" s="37"/>
      <c r="P87" s="10">
        <v>1</v>
      </c>
      <c r="Q87" s="10"/>
    </row>
    <row r="88" spans="3:18" ht="15.75" customHeight="1" x14ac:dyDescent="0.2">
      <c r="C88" s="64"/>
      <c r="L88" s="5">
        <v>3</v>
      </c>
      <c r="M88" s="5" t="s">
        <v>191</v>
      </c>
      <c r="N88" s="5"/>
      <c r="O88" s="37"/>
      <c r="P88" s="10">
        <v>1</v>
      </c>
      <c r="Q88" s="10"/>
    </row>
    <row r="89" spans="3:18" ht="15.75" customHeight="1" x14ac:dyDescent="0.2">
      <c r="C89" s="64"/>
      <c r="L89" s="5">
        <v>4</v>
      </c>
      <c r="M89" s="5" t="s">
        <v>192</v>
      </c>
      <c r="N89" s="5"/>
      <c r="O89" s="37"/>
      <c r="P89" s="10">
        <v>1</v>
      </c>
      <c r="Q89" s="10"/>
    </row>
    <row r="90" spans="3:18" ht="15.75" customHeight="1" x14ac:dyDescent="0.2">
      <c r="C90" s="64"/>
    </row>
    <row r="91" spans="3:18" ht="15.75" customHeight="1" x14ac:dyDescent="0.2">
      <c r="C91" s="64"/>
    </row>
    <row r="92" spans="3:18" ht="15.75" customHeight="1" x14ac:dyDescent="0.2">
      <c r="C92" s="64"/>
      <c r="L92" s="147" t="s">
        <v>193</v>
      </c>
      <c r="M92" s="147"/>
      <c r="N92" s="147"/>
      <c r="O92" s="147"/>
      <c r="P92" s="147"/>
      <c r="Q92" s="147"/>
    </row>
    <row r="93" spans="3:18" ht="15.75" customHeight="1" x14ac:dyDescent="0.2">
      <c r="C93" s="64"/>
      <c r="L93" s="2" t="s">
        <v>1</v>
      </c>
      <c r="M93" s="2" t="s">
        <v>211</v>
      </c>
      <c r="N93" s="2" t="s">
        <v>134</v>
      </c>
      <c r="O93" s="36" t="s">
        <v>210</v>
      </c>
      <c r="P93" s="2" t="s">
        <v>213</v>
      </c>
      <c r="Q93" s="2" t="s">
        <v>3</v>
      </c>
    </row>
    <row r="94" spans="3:18" ht="15.75" customHeight="1" x14ac:dyDescent="0.2">
      <c r="C94" s="64"/>
      <c r="L94" s="5">
        <v>1</v>
      </c>
      <c r="M94" s="5" t="s">
        <v>194</v>
      </c>
      <c r="N94" s="5"/>
      <c r="O94" s="37"/>
      <c r="P94" s="10">
        <v>1</v>
      </c>
      <c r="Q94" s="10"/>
    </row>
    <row r="95" spans="3:18" ht="15.75" customHeight="1" x14ac:dyDescent="0.2">
      <c r="C95" s="64"/>
      <c r="L95" s="5">
        <v>2</v>
      </c>
      <c r="M95" s="5" t="s">
        <v>195</v>
      </c>
      <c r="N95" s="5"/>
      <c r="O95" s="37"/>
      <c r="P95" s="10">
        <v>1</v>
      </c>
      <c r="Q95" s="10"/>
    </row>
    <row r="96" spans="3:18" ht="15.75" customHeight="1" x14ac:dyDescent="0.2">
      <c r="C96" s="64"/>
      <c r="L96" s="5">
        <v>3</v>
      </c>
      <c r="M96" s="5" t="s">
        <v>196</v>
      </c>
      <c r="N96" s="5"/>
      <c r="O96" s="37"/>
      <c r="P96" s="10">
        <v>1</v>
      </c>
      <c r="Q96" s="10"/>
    </row>
    <row r="97" spans="3:18" ht="15.75" customHeight="1" x14ac:dyDescent="0.2">
      <c r="C97" s="64"/>
      <c r="L97" s="5">
        <v>4</v>
      </c>
      <c r="M97" s="5" t="s">
        <v>197</v>
      </c>
      <c r="N97" s="5"/>
      <c r="O97" s="37"/>
      <c r="P97" s="10">
        <v>1</v>
      </c>
      <c r="Q97" s="10"/>
    </row>
    <row r="98" spans="3:18" ht="15.75" customHeight="1" x14ac:dyDescent="0.2">
      <c r="C98" s="64"/>
    </row>
    <row r="99" spans="3:18" ht="15.75" customHeight="1" x14ac:dyDescent="0.2">
      <c r="C99" s="64"/>
    </row>
    <row r="100" spans="3:18" ht="15.75" customHeight="1" x14ac:dyDescent="0.2">
      <c r="C100" s="64"/>
      <c r="L100" s="142" t="s">
        <v>200</v>
      </c>
      <c r="M100" s="143"/>
      <c r="N100" s="143"/>
    </row>
    <row r="101" spans="3:18" ht="15.75" customHeight="1" x14ac:dyDescent="0.2">
      <c r="C101" s="64"/>
      <c r="L101" s="29" t="s">
        <v>1</v>
      </c>
      <c r="M101" s="29" t="s">
        <v>220</v>
      </c>
      <c r="N101" s="29" t="s">
        <v>768</v>
      </c>
      <c r="O101" s="29" t="s">
        <v>769</v>
      </c>
      <c r="P101" s="29" t="s">
        <v>783</v>
      </c>
      <c r="Q101" s="29" t="s">
        <v>784</v>
      </c>
      <c r="R101" s="29" t="s">
        <v>201</v>
      </c>
    </row>
    <row r="102" spans="3:18" ht="15.75" customHeight="1" x14ac:dyDescent="0.2">
      <c r="C102" s="64"/>
      <c r="L102" s="5">
        <v>1</v>
      </c>
      <c r="M102" s="5">
        <v>1</v>
      </c>
      <c r="N102" s="5" t="s">
        <v>143</v>
      </c>
      <c r="O102" s="5" t="s">
        <v>144</v>
      </c>
      <c r="P102" s="5">
        <v>100</v>
      </c>
      <c r="Q102" s="5">
        <v>150</v>
      </c>
      <c r="R102" s="7">
        <v>42184.729108796295</v>
      </c>
    </row>
    <row r="103" spans="3:18" ht="15.75" customHeight="1" x14ac:dyDescent="0.2">
      <c r="C103" s="64"/>
      <c r="L103" s="5">
        <v>1</v>
      </c>
      <c r="M103" s="5">
        <v>1</v>
      </c>
      <c r="N103" s="5" t="s">
        <v>143</v>
      </c>
      <c r="O103" s="5" t="s">
        <v>181</v>
      </c>
      <c r="P103" s="5" t="s">
        <v>202</v>
      </c>
      <c r="Q103" s="5" t="s">
        <v>203</v>
      </c>
      <c r="R103" s="7">
        <v>42184.729108796295</v>
      </c>
    </row>
    <row r="104" spans="3:18" ht="15.75" customHeight="1" x14ac:dyDescent="0.2">
      <c r="C104" s="64"/>
      <c r="L104" s="1"/>
      <c r="M104" s="1"/>
      <c r="N104" s="1"/>
    </row>
    <row r="105" spans="3:18" ht="15.75" customHeight="1" x14ac:dyDescent="0.2">
      <c r="C105" s="64"/>
    </row>
    <row r="106" spans="3:18" ht="15.75" customHeight="1" x14ac:dyDescent="0.2">
      <c r="C106" s="64"/>
    </row>
    <row r="107" spans="3:18" ht="15.75" customHeight="1" x14ac:dyDescent="0.2">
      <c r="C107" s="64"/>
    </row>
    <row r="108" spans="3:18" ht="15.75" customHeight="1" x14ac:dyDescent="0.2">
      <c r="C108" s="64"/>
      <c r="L108" s="147" t="s">
        <v>785</v>
      </c>
      <c r="M108" s="147"/>
      <c r="N108" s="147"/>
      <c r="O108" s="147"/>
      <c r="P108" s="147"/>
      <c r="Q108" s="147"/>
    </row>
    <row r="109" spans="3:18" ht="15.75" customHeight="1" x14ac:dyDescent="0.2">
      <c r="C109" s="64"/>
      <c r="L109" s="2" t="s">
        <v>1</v>
      </c>
      <c r="M109" s="2" t="s">
        <v>786</v>
      </c>
      <c r="N109" s="2" t="s">
        <v>798</v>
      </c>
      <c r="O109" s="2" t="s">
        <v>134</v>
      </c>
      <c r="P109" s="2" t="s">
        <v>787</v>
      </c>
      <c r="Q109" s="2" t="s">
        <v>3</v>
      </c>
    </row>
    <row r="110" spans="3:18" ht="15.75" customHeight="1" x14ac:dyDescent="0.2">
      <c r="C110" s="64"/>
      <c r="L110" s="5">
        <v>1</v>
      </c>
      <c r="M110" s="5">
        <v>1</v>
      </c>
      <c r="N110" s="5" t="s">
        <v>789</v>
      </c>
      <c r="O110" s="10" t="s">
        <v>790</v>
      </c>
      <c r="P110" s="10">
        <v>800</v>
      </c>
      <c r="Q110" s="7">
        <v>42184.729108796295</v>
      </c>
    </row>
    <row r="111" spans="3:18" ht="15.75" customHeight="1" x14ac:dyDescent="0.2">
      <c r="C111" s="64"/>
      <c r="L111" s="5">
        <v>2</v>
      </c>
      <c r="M111" s="5">
        <v>1</v>
      </c>
      <c r="N111" s="5" t="s">
        <v>791</v>
      </c>
      <c r="O111" s="58">
        <v>0.1</v>
      </c>
      <c r="P111" s="10">
        <v>-80</v>
      </c>
      <c r="Q111" s="7">
        <v>42184.729108796295</v>
      </c>
    </row>
    <row r="112" spans="3:18" ht="15.75" customHeight="1" x14ac:dyDescent="0.2">
      <c r="C112" s="64"/>
      <c r="L112" s="5">
        <v>3</v>
      </c>
      <c r="M112" s="5">
        <v>1</v>
      </c>
      <c r="N112" s="5" t="s">
        <v>792</v>
      </c>
      <c r="O112" s="10" t="s">
        <v>793</v>
      </c>
      <c r="P112" s="10">
        <v>180</v>
      </c>
      <c r="Q112" s="7">
        <v>42184.729108796295</v>
      </c>
    </row>
    <row r="113" spans="3:17" ht="15.75" customHeight="1" x14ac:dyDescent="0.2">
      <c r="C113" s="64"/>
      <c r="L113" s="5">
        <v>4</v>
      </c>
      <c r="M113" s="5">
        <v>1</v>
      </c>
      <c r="N113" s="5" t="s">
        <v>794</v>
      </c>
      <c r="O113" s="10" t="s">
        <v>795</v>
      </c>
      <c r="P113" s="10">
        <v>90</v>
      </c>
      <c r="Q113" s="7">
        <v>42184.729108796295</v>
      </c>
    </row>
    <row r="114" spans="3:17" ht="15.75" customHeight="1" x14ac:dyDescent="0.2">
      <c r="C114" s="64"/>
      <c r="L114" s="5">
        <v>4</v>
      </c>
      <c r="M114" s="5">
        <v>1</v>
      </c>
      <c r="N114" s="5" t="s">
        <v>796</v>
      </c>
      <c r="O114" s="10" t="s">
        <v>797</v>
      </c>
      <c r="P114" s="10">
        <v>10</v>
      </c>
      <c r="Q114" s="7">
        <v>42184.729108796295</v>
      </c>
    </row>
    <row r="115" spans="3:17" ht="15.75" customHeight="1" x14ac:dyDescent="0.2">
      <c r="C115" s="64"/>
    </row>
    <row r="116" spans="3:17" ht="15.75" customHeight="1" x14ac:dyDescent="0.2">
      <c r="C116" s="64"/>
      <c r="L116" s="147" t="s">
        <v>799</v>
      </c>
      <c r="M116" s="147"/>
      <c r="N116" s="147"/>
      <c r="O116" s="147"/>
      <c r="P116" s="147"/>
      <c r="Q116" s="147"/>
    </row>
    <row r="117" spans="3:17" ht="15.75" customHeight="1" x14ac:dyDescent="0.2">
      <c r="C117" s="64"/>
      <c r="L117" s="2" t="s">
        <v>1</v>
      </c>
      <c r="M117" s="2" t="s">
        <v>211</v>
      </c>
      <c r="N117" s="2" t="s">
        <v>2</v>
      </c>
      <c r="O117" s="2" t="s">
        <v>888</v>
      </c>
      <c r="P117" s="2" t="s">
        <v>889</v>
      </c>
      <c r="Q117" s="2" t="s">
        <v>3</v>
      </c>
    </row>
    <row r="118" spans="3:17" ht="15.75" customHeight="1" x14ac:dyDescent="0.2">
      <c r="C118" s="64"/>
      <c r="L118" s="5">
        <v>1</v>
      </c>
      <c r="M118" s="59" t="s">
        <v>800</v>
      </c>
      <c r="N118" s="5" t="s">
        <v>27</v>
      </c>
      <c r="O118" s="10"/>
      <c r="P118" s="10"/>
      <c r="Q118" s="7">
        <v>42184.729108796295</v>
      </c>
    </row>
    <row r="119" spans="3:17" ht="15.75" customHeight="1" x14ac:dyDescent="0.2">
      <c r="C119" s="64"/>
      <c r="L119" s="5">
        <v>2</v>
      </c>
      <c r="M119" s="5" t="s">
        <v>789</v>
      </c>
      <c r="N119" s="5">
        <v>1</v>
      </c>
      <c r="O119" s="58"/>
      <c r="P119" s="10"/>
      <c r="Q119" s="7">
        <v>42184.729108796295</v>
      </c>
    </row>
    <row r="120" spans="3:17" ht="15.75" customHeight="1" x14ac:dyDescent="0.2">
      <c r="C120" s="64"/>
      <c r="L120" s="5">
        <v>3</v>
      </c>
      <c r="M120" s="5" t="s">
        <v>791</v>
      </c>
      <c r="N120" s="5">
        <v>1</v>
      </c>
      <c r="O120" s="10"/>
      <c r="P120" s="10"/>
      <c r="Q120" s="7">
        <v>42184.729108796295</v>
      </c>
    </row>
    <row r="121" spans="3:17" ht="15.75" customHeight="1" x14ac:dyDescent="0.2">
      <c r="C121" s="64"/>
      <c r="L121" s="5">
        <v>4</v>
      </c>
      <c r="M121" s="59" t="s">
        <v>801</v>
      </c>
      <c r="N121" s="5" t="s">
        <v>27</v>
      </c>
      <c r="O121" s="10"/>
      <c r="P121" s="10"/>
      <c r="Q121" s="7">
        <v>42184.729108796295</v>
      </c>
    </row>
    <row r="122" spans="3:17" ht="15.75" customHeight="1" x14ac:dyDescent="0.2">
      <c r="C122" s="64"/>
      <c r="L122" s="5">
        <v>5</v>
      </c>
      <c r="M122" s="5" t="s">
        <v>794</v>
      </c>
      <c r="N122" s="5">
        <v>4</v>
      </c>
      <c r="O122" s="10"/>
      <c r="P122" s="10"/>
      <c r="Q122" s="7">
        <v>42184.729108796295</v>
      </c>
    </row>
    <row r="123" spans="3:17" ht="15.75" customHeight="1" x14ac:dyDescent="0.2">
      <c r="C123" s="64"/>
      <c r="L123" s="5">
        <v>4</v>
      </c>
      <c r="M123" s="5" t="s">
        <v>796</v>
      </c>
      <c r="N123" s="5" t="s">
        <v>796</v>
      </c>
      <c r="O123" s="10"/>
      <c r="P123" s="10"/>
      <c r="Q123" s="7">
        <v>42184.729108796295</v>
      </c>
    </row>
    <row r="124" spans="3:17" ht="15.75" customHeight="1" x14ac:dyDescent="0.2">
      <c r="C124" s="64"/>
    </row>
    <row r="125" spans="3:17" ht="15.75" customHeight="1" x14ac:dyDescent="0.2">
      <c r="C125" s="64"/>
    </row>
    <row r="126" spans="3:17" ht="15.75" customHeight="1" x14ac:dyDescent="0.2">
      <c r="C126" s="64"/>
    </row>
    <row r="127" spans="3:17" ht="15.75" customHeight="1" x14ac:dyDescent="0.2">
      <c r="C127" s="64"/>
      <c r="M127" t="s">
        <v>901</v>
      </c>
    </row>
    <row r="128" spans="3:17" ht="15.75" customHeight="1" x14ac:dyDescent="0.2">
      <c r="C128" s="64"/>
      <c r="L128">
        <v>1</v>
      </c>
      <c r="M128" s="70">
        <v>42005</v>
      </c>
      <c r="N128">
        <v>10000</v>
      </c>
    </row>
    <row r="129" spans="3:14" ht="15.75" customHeight="1" x14ac:dyDescent="0.2">
      <c r="C129" s="64"/>
      <c r="L129">
        <v>2</v>
      </c>
      <c r="M129" s="70">
        <v>42036</v>
      </c>
      <c r="N129">
        <v>40000</v>
      </c>
    </row>
    <row r="130" spans="3:14" ht="15.75" customHeight="1" x14ac:dyDescent="0.2">
      <c r="C130" s="64"/>
      <c r="L130">
        <v>3</v>
      </c>
    </row>
    <row r="131" spans="3:14" ht="15.75" customHeight="1" x14ac:dyDescent="0.2">
      <c r="C131" s="64"/>
      <c r="L131">
        <v>4</v>
      </c>
    </row>
    <row r="132" spans="3:14" ht="15.75" customHeight="1" x14ac:dyDescent="0.2">
      <c r="C132" s="64"/>
      <c r="L132">
        <v>5</v>
      </c>
    </row>
    <row r="133" spans="3:14" ht="15.75" customHeight="1" x14ac:dyDescent="0.2">
      <c r="C133" s="64"/>
      <c r="L133">
        <v>6</v>
      </c>
    </row>
    <row r="134" spans="3:14" ht="15.75" customHeight="1" x14ac:dyDescent="0.2">
      <c r="C134" s="64"/>
    </row>
    <row r="135" spans="3:14" ht="15.75" customHeight="1" x14ac:dyDescent="0.2">
      <c r="C135" s="64"/>
    </row>
    <row r="136" spans="3:14" ht="15.75" customHeight="1" x14ac:dyDescent="0.2">
      <c r="C136" s="64"/>
    </row>
    <row r="137" spans="3:14" ht="15.75" customHeight="1" x14ac:dyDescent="0.2">
      <c r="C137" s="64"/>
    </row>
    <row r="138" spans="3:14" ht="15.75" customHeight="1" x14ac:dyDescent="0.2">
      <c r="C138" s="64"/>
    </row>
    <row r="139" spans="3:14" ht="15.75" customHeight="1" x14ac:dyDescent="0.2">
      <c r="C139" s="64"/>
    </row>
  </sheetData>
  <mergeCells count="27">
    <mergeCell ref="L108:Q108"/>
    <mergeCell ref="L116:Q116"/>
    <mergeCell ref="L100:N100"/>
    <mergeCell ref="L76:Q76"/>
    <mergeCell ref="L84:Q84"/>
    <mergeCell ref="L92:Q92"/>
    <mergeCell ref="A2:C2"/>
    <mergeCell ref="A22:C22"/>
    <mergeCell ref="E2:I2"/>
    <mergeCell ref="L2:T2"/>
    <mergeCell ref="A9:C9"/>
    <mergeCell ref="A16:C16"/>
    <mergeCell ref="L15:R15"/>
    <mergeCell ref="L22:S22"/>
    <mergeCell ref="L8:R8"/>
    <mergeCell ref="E10:G10"/>
    <mergeCell ref="E47:H47"/>
    <mergeCell ref="L68:N68"/>
    <mergeCell ref="L51:T51"/>
    <mergeCell ref="L56:V56"/>
    <mergeCell ref="L29:S29"/>
    <mergeCell ref="L64:N64"/>
    <mergeCell ref="A29:C29"/>
    <mergeCell ref="L46:R46"/>
    <mergeCell ref="L41:R41"/>
    <mergeCell ref="A43:C43"/>
    <mergeCell ref="A34:C34"/>
  </mergeCells>
  <pageMargins left="0.7" right="0.7" top="0.75" bottom="0.75" header="0.3" footer="0.3"/>
  <pageSetup orientation="portrait" horizontalDpi="200" verticalDpi="200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I100"/>
  <sheetViews>
    <sheetView workbookViewId="0"/>
  </sheetViews>
  <sheetFormatPr defaultRowHeight="12.75" x14ac:dyDescent="0.2"/>
  <cols>
    <col min="1" max="1" width="15.7109375" style="71" customWidth="1"/>
    <col min="2" max="2" width="11" bestFit="1" customWidth="1"/>
    <col min="4" max="4" width="10" bestFit="1" customWidth="1"/>
    <col min="8" max="8" width="15.42578125" style="71" customWidth="1"/>
    <col min="9" max="9" width="26.7109375" style="71" bestFit="1" customWidth="1"/>
  </cols>
  <sheetData>
    <row r="1" spans="1:9" s="71" customFormat="1" x14ac:dyDescent="0.2">
      <c r="A1" s="74" t="s">
        <v>917</v>
      </c>
      <c r="B1" s="75" t="s">
        <v>924</v>
      </c>
      <c r="C1" s="74" t="s">
        <v>912</v>
      </c>
      <c r="D1" s="74" t="s">
        <v>913</v>
      </c>
      <c r="E1" s="74" t="s">
        <v>914</v>
      </c>
      <c r="F1" s="74" t="s">
        <v>915</v>
      </c>
      <c r="G1" s="74" t="s">
        <v>916</v>
      </c>
      <c r="H1" s="76" t="s">
        <v>922</v>
      </c>
      <c r="I1" s="76" t="s">
        <v>923</v>
      </c>
    </row>
    <row r="2" spans="1:9" x14ac:dyDescent="0.2">
      <c r="A2" s="62" t="s">
        <v>918</v>
      </c>
      <c r="B2" s="72" t="s">
        <v>925</v>
      </c>
      <c r="C2" s="62"/>
      <c r="D2" s="62"/>
      <c r="E2" s="62"/>
      <c r="F2" s="62"/>
      <c r="G2" s="62"/>
      <c r="H2" s="73"/>
      <c r="I2" s="73"/>
    </row>
    <row r="3" spans="1:9" x14ac:dyDescent="0.2">
      <c r="A3" s="62" t="s">
        <v>918</v>
      </c>
      <c r="B3" s="72"/>
      <c r="C3" s="62" t="s">
        <v>919</v>
      </c>
      <c r="D3" s="62" t="s">
        <v>906</v>
      </c>
      <c r="E3" s="62">
        <v>25</v>
      </c>
      <c r="F3" s="62" t="b">
        <v>1</v>
      </c>
      <c r="G3" s="62" t="s">
        <v>561</v>
      </c>
      <c r="H3" s="73"/>
      <c r="I3" s="73"/>
    </row>
    <row r="4" spans="1:9" x14ac:dyDescent="0.2">
      <c r="A4" s="62"/>
      <c r="B4" s="72"/>
      <c r="C4" s="62"/>
      <c r="D4" s="62"/>
      <c r="E4" s="62"/>
      <c r="F4" s="62"/>
      <c r="G4" s="62"/>
      <c r="H4" s="73"/>
      <c r="I4" s="73"/>
    </row>
    <row r="5" spans="1:9" x14ac:dyDescent="0.2">
      <c r="A5" s="62" t="s">
        <v>920</v>
      </c>
      <c r="B5" s="72" t="s">
        <v>925</v>
      </c>
      <c r="C5" s="62"/>
      <c r="D5" s="62"/>
      <c r="E5" s="62"/>
      <c r="F5" s="62"/>
      <c r="G5" s="62"/>
      <c r="H5" s="73"/>
      <c r="I5" s="73"/>
    </row>
    <row r="6" spans="1:9" x14ac:dyDescent="0.2">
      <c r="A6" s="62" t="s">
        <v>0</v>
      </c>
      <c r="B6" s="72" t="s">
        <v>921</v>
      </c>
      <c r="C6" s="62"/>
      <c r="D6" s="62"/>
      <c r="E6" s="62"/>
      <c r="F6" s="62"/>
      <c r="G6" s="62"/>
      <c r="H6" s="73"/>
      <c r="I6" s="73"/>
    </row>
    <row r="7" spans="1:9" x14ac:dyDescent="0.2">
      <c r="A7" s="62"/>
      <c r="B7" s="72"/>
      <c r="C7" s="62"/>
      <c r="D7" s="62"/>
      <c r="E7" s="62"/>
      <c r="F7" s="62"/>
      <c r="G7" s="62"/>
      <c r="H7" s="73"/>
      <c r="I7" s="73"/>
    </row>
    <row r="8" spans="1:9" x14ac:dyDescent="0.2">
      <c r="A8" s="62"/>
      <c r="B8" s="72"/>
      <c r="C8" s="62"/>
      <c r="D8" s="62"/>
      <c r="E8" s="62"/>
      <c r="F8" s="62"/>
      <c r="G8" s="62"/>
      <c r="H8" s="73"/>
      <c r="I8" s="73"/>
    </row>
    <row r="9" spans="1:9" x14ac:dyDescent="0.2">
      <c r="A9" s="62"/>
      <c r="B9" s="72"/>
      <c r="C9" s="62"/>
      <c r="D9" s="62"/>
      <c r="E9" s="62"/>
      <c r="F9" s="62"/>
      <c r="G9" s="62"/>
      <c r="H9" s="73"/>
      <c r="I9" s="73"/>
    </row>
    <row r="10" spans="1:9" x14ac:dyDescent="0.2">
      <c r="A10" s="62"/>
      <c r="B10" s="72"/>
      <c r="C10" s="62"/>
      <c r="D10" s="62"/>
      <c r="E10" s="62"/>
      <c r="F10" s="62"/>
      <c r="G10" s="62"/>
      <c r="H10" s="73"/>
      <c r="I10" s="73"/>
    </row>
    <row r="11" spans="1:9" x14ac:dyDescent="0.2">
      <c r="A11" s="62"/>
      <c r="B11" s="72"/>
      <c r="C11" s="62"/>
      <c r="D11" s="62"/>
      <c r="E11" s="62"/>
      <c r="F11" s="62"/>
      <c r="G11" s="62"/>
      <c r="H11" s="73"/>
      <c r="I11" s="73"/>
    </row>
    <row r="12" spans="1:9" x14ac:dyDescent="0.2">
      <c r="A12" s="62"/>
      <c r="B12" s="72"/>
      <c r="C12" s="62"/>
      <c r="D12" s="62"/>
      <c r="E12" s="62"/>
      <c r="F12" s="62"/>
      <c r="G12" s="62"/>
      <c r="H12" s="73"/>
      <c r="I12" s="73"/>
    </row>
    <row r="13" spans="1:9" x14ac:dyDescent="0.2">
      <c r="A13" s="62"/>
      <c r="B13" s="72"/>
      <c r="C13" s="62"/>
      <c r="D13" s="62"/>
      <c r="E13" s="62"/>
      <c r="F13" s="62"/>
      <c r="G13" s="62"/>
      <c r="H13" s="73"/>
      <c r="I13" s="73"/>
    </row>
    <row r="14" spans="1:9" x14ac:dyDescent="0.2">
      <c r="A14" s="62"/>
      <c r="B14" s="72"/>
      <c r="C14" s="62"/>
      <c r="D14" s="62"/>
      <c r="E14" s="62"/>
      <c r="F14" s="62"/>
      <c r="G14" s="62"/>
      <c r="H14" s="73"/>
      <c r="I14" s="73"/>
    </row>
    <row r="15" spans="1:9" x14ac:dyDescent="0.2">
      <c r="A15" s="62"/>
      <c r="B15" s="72"/>
      <c r="C15" s="62"/>
      <c r="D15" s="62"/>
      <c r="E15" s="62"/>
      <c r="F15" s="62"/>
      <c r="G15" s="62"/>
      <c r="H15" s="73"/>
      <c r="I15" s="73"/>
    </row>
    <row r="16" spans="1:9" x14ac:dyDescent="0.2">
      <c r="A16" s="62"/>
      <c r="B16" s="72"/>
      <c r="C16" s="62"/>
      <c r="D16" s="62"/>
      <c r="E16" s="62"/>
      <c r="F16" s="62"/>
      <c r="G16" s="62"/>
      <c r="H16" s="73"/>
      <c r="I16" s="73"/>
    </row>
    <row r="17" spans="1:9" x14ac:dyDescent="0.2">
      <c r="A17" s="62"/>
      <c r="B17" s="72"/>
      <c r="C17" s="62"/>
      <c r="D17" s="62"/>
      <c r="E17" s="62"/>
      <c r="F17" s="62"/>
      <c r="G17" s="62"/>
      <c r="H17" s="73"/>
      <c r="I17" s="73"/>
    </row>
    <row r="18" spans="1:9" x14ac:dyDescent="0.2">
      <c r="A18" s="62"/>
      <c r="B18" s="72"/>
      <c r="C18" s="62"/>
      <c r="D18" s="62"/>
      <c r="E18" s="62"/>
      <c r="F18" s="62"/>
      <c r="G18" s="62"/>
      <c r="H18" s="73"/>
      <c r="I18" s="73"/>
    </row>
    <row r="19" spans="1:9" x14ac:dyDescent="0.2">
      <c r="A19" s="62"/>
      <c r="B19" s="72"/>
      <c r="C19" s="62"/>
      <c r="D19" s="62"/>
      <c r="E19" s="62"/>
      <c r="F19" s="62"/>
      <c r="G19" s="62"/>
      <c r="H19" s="73"/>
      <c r="I19" s="73"/>
    </row>
    <row r="20" spans="1:9" x14ac:dyDescent="0.2">
      <c r="A20" s="62"/>
      <c r="B20" s="72"/>
      <c r="C20" s="62"/>
      <c r="D20" s="62"/>
      <c r="E20" s="62"/>
      <c r="F20" s="62"/>
      <c r="G20" s="62"/>
      <c r="H20" s="73"/>
      <c r="I20" s="73"/>
    </row>
    <row r="21" spans="1:9" x14ac:dyDescent="0.2">
      <c r="A21" s="62"/>
      <c r="B21" s="72"/>
      <c r="C21" s="62"/>
      <c r="D21" s="62"/>
      <c r="E21" s="62"/>
      <c r="F21" s="62"/>
      <c r="G21" s="62"/>
      <c r="H21" s="73"/>
      <c r="I21" s="73"/>
    </row>
    <row r="22" spans="1:9" x14ac:dyDescent="0.2">
      <c r="A22" s="62"/>
      <c r="B22" s="72"/>
      <c r="C22" s="62"/>
      <c r="D22" s="62"/>
      <c r="E22" s="62"/>
      <c r="F22" s="62"/>
      <c r="G22" s="62"/>
      <c r="H22" s="73"/>
      <c r="I22" s="73"/>
    </row>
    <row r="23" spans="1:9" x14ac:dyDescent="0.2">
      <c r="A23" s="62"/>
      <c r="B23" s="72"/>
      <c r="C23" s="62"/>
      <c r="D23" s="62"/>
      <c r="E23" s="62"/>
      <c r="F23" s="62"/>
      <c r="G23" s="62"/>
      <c r="H23" s="73"/>
      <c r="I23" s="73"/>
    </row>
    <row r="24" spans="1:9" x14ac:dyDescent="0.2">
      <c r="A24" s="62"/>
      <c r="B24" s="72"/>
      <c r="C24" s="62"/>
      <c r="D24" s="62"/>
      <c r="E24" s="62"/>
      <c r="F24" s="62"/>
      <c r="G24" s="62"/>
      <c r="H24" s="73"/>
      <c r="I24" s="73"/>
    </row>
    <row r="25" spans="1:9" x14ac:dyDescent="0.2">
      <c r="A25" s="62"/>
      <c r="B25" s="72"/>
      <c r="C25" s="62"/>
      <c r="D25" s="62"/>
      <c r="E25" s="62"/>
      <c r="F25" s="62"/>
      <c r="G25" s="62"/>
      <c r="H25" s="73"/>
      <c r="I25" s="73"/>
    </row>
    <row r="26" spans="1:9" x14ac:dyDescent="0.2">
      <c r="A26" s="62"/>
      <c r="B26" s="72"/>
      <c r="C26" s="62"/>
      <c r="D26" s="62"/>
      <c r="E26" s="62"/>
      <c r="F26" s="62"/>
      <c r="G26" s="62"/>
      <c r="H26" s="73"/>
      <c r="I26" s="73"/>
    </row>
    <row r="27" spans="1:9" x14ac:dyDescent="0.2">
      <c r="A27" s="62"/>
      <c r="B27" s="72"/>
      <c r="C27" s="62"/>
      <c r="D27" s="62"/>
      <c r="E27" s="62"/>
      <c r="F27" s="62"/>
      <c r="G27" s="62"/>
      <c r="H27" s="73"/>
      <c r="I27" s="73"/>
    </row>
    <row r="28" spans="1:9" x14ac:dyDescent="0.2">
      <c r="A28" s="62"/>
      <c r="B28" s="72"/>
      <c r="C28" s="62"/>
      <c r="D28" s="62"/>
      <c r="E28" s="62"/>
      <c r="F28" s="62"/>
      <c r="G28" s="62"/>
      <c r="H28" s="73"/>
      <c r="I28" s="73"/>
    </row>
    <row r="29" spans="1:9" x14ac:dyDescent="0.2">
      <c r="A29" s="62"/>
      <c r="B29" s="72"/>
      <c r="C29" s="62"/>
      <c r="D29" s="62"/>
      <c r="E29" s="62"/>
      <c r="F29" s="62"/>
      <c r="G29" s="62"/>
      <c r="H29" s="73"/>
      <c r="I29" s="73"/>
    </row>
    <row r="30" spans="1:9" x14ac:dyDescent="0.2">
      <c r="A30" s="62"/>
      <c r="B30" s="72"/>
      <c r="C30" s="62"/>
      <c r="D30" s="62"/>
      <c r="E30" s="62"/>
      <c r="F30" s="62"/>
      <c r="G30" s="62"/>
      <c r="H30" s="73"/>
      <c r="I30" s="73"/>
    </row>
    <row r="31" spans="1:9" x14ac:dyDescent="0.2">
      <c r="A31" s="62"/>
      <c r="B31" s="72"/>
      <c r="C31" s="62"/>
      <c r="D31" s="62"/>
      <c r="E31" s="62"/>
      <c r="F31" s="62"/>
      <c r="G31" s="62"/>
      <c r="H31" s="73"/>
      <c r="I31" s="73"/>
    </row>
    <row r="32" spans="1:9" x14ac:dyDescent="0.2">
      <c r="A32" s="62"/>
      <c r="B32" s="72"/>
      <c r="C32" s="62"/>
      <c r="D32" s="62"/>
      <c r="E32" s="62"/>
      <c r="F32" s="62"/>
      <c r="G32" s="62"/>
      <c r="H32" s="73"/>
      <c r="I32" s="73"/>
    </row>
    <row r="33" spans="1:9" x14ac:dyDescent="0.2">
      <c r="A33" s="62"/>
      <c r="B33" s="72"/>
      <c r="C33" s="62"/>
      <c r="D33" s="62"/>
      <c r="E33" s="62"/>
      <c r="F33" s="62"/>
      <c r="G33" s="62"/>
      <c r="H33" s="73"/>
      <c r="I33" s="73"/>
    </row>
    <row r="34" spans="1:9" x14ac:dyDescent="0.2">
      <c r="A34" s="62"/>
      <c r="B34" s="72"/>
      <c r="C34" s="62"/>
      <c r="D34" s="62"/>
      <c r="E34" s="62"/>
      <c r="F34" s="62"/>
      <c r="G34" s="62"/>
      <c r="H34" s="73"/>
      <c r="I34" s="73"/>
    </row>
    <row r="35" spans="1:9" x14ac:dyDescent="0.2">
      <c r="A35" s="62"/>
      <c r="B35" s="72"/>
      <c r="C35" s="62"/>
      <c r="D35" s="62"/>
      <c r="E35" s="62"/>
      <c r="F35" s="62"/>
      <c r="G35" s="62"/>
      <c r="H35" s="73"/>
      <c r="I35" s="73"/>
    </row>
    <row r="36" spans="1:9" x14ac:dyDescent="0.2">
      <c r="A36" s="62"/>
      <c r="B36" s="72"/>
      <c r="C36" s="62"/>
      <c r="D36" s="62"/>
      <c r="E36" s="62"/>
      <c r="F36" s="62"/>
      <c r="G36" s="62"/>
      <c r="H36" s="73"/>
      <c r="I36" s="73"/>
    </row>
    <row r="37" spans="1:9" x14ac:dyDescent="0.2">
      <c r="A37" s="62"/>
      <c r="B37" s="72"/>
      <c r="C37" s="62"/>
      <c r="D37" s="62"/>
      <c r="E37" s="62"/>
      <c r="F37" s="62"/>
      <c r="G37" s="62"/>
      <c r="H37" s="73"/>
      <c r="I37" s="73"/>
    </row>
    <row r="38" spans="1:9" x14ac:dyDescent="0.2">
      <c r="A38" s="62"/>
      <c r="B38" s="72"/>
      <c r="C38" s="62"/>
      <c r="D38" s="62"/>
      <c r="E38" s="62"/>
      <c r="F38" s="62"/>
      <c r="G38" s="62"/>
      <c r="H38" s="73"/>
      <c r="I38" s="73"/>
    </row>
    <row r="39" spans="1:9" x14ac:dyDescent="0.2">
      <c r="A39" s="62"/>
      <c r="B39" s="72"/>
      <c r="C39" s="62"/>
      <c r="D39" s="62"/>
      <c r="E39" s="62"/>
      <c r="F39" s="62"/>
      <c r="G39" s="62"/>
      <c r="H39" s="73"/>
      <c r="I39" s="73"/>
    </row>
    <row r="40" spans="1:9" x14ac:dyDescent="0.2">
      <c r="A40" s="62"/>
      <c r="B40" s="72"/>
      <c r="C40" s="62"/>
      <c r="D40" s="62"/>
      <c r="E40" s="62"/>
      <c r="F40" s="62"/>
      <c r="G40" s="62"/>
      <c r="H40" s="73"/>
      <c r="I40" s="73"/>
    </row>
    <row r="41" spans="1:9" x14ac:dyDescent="0.2">
      <c r="A41" s="62"/>
      <c r="B41" s="72"/>
      <c r="C41" s="62"/>
      <c r="D41" s="62"/>
      <c r="E41" s="62"/>
      <c r="F41" s="62"/>
      <c r="G41" s="62"/>
      <c r="H41" s="73"/>
      <c r="I41" s="73"/>
    </row>
    <row r="42" spans="1:9" x14ac:dyDescent="0.2">
      <c r="A42" s="62"/>
      <c r="B42" s="72"/>
      <c r="C42" s="62"/>
      <c r="D42" s="62"/>
      <c r="E42" s="62"/>
      <c r="F42" s="62"/>
      <c r="G42" s="62"/>
      <c r="H42" s="73"/>
      <c r="I42" s="73"/>
    </row>
    <row r="43" spans="1:9" x14ac:dyDescent="0.2">
      <c r="A43" s="62"/>
      <c r="B43" s="72"/>
      <c r="C43" s="62"/>
      <c r="D43" s="62"/>
      <c r="E43" s="62"/>
      <c r="F43" s="62"/>
      <c r="G43" s="62"/>
      <c r="H43" s="73"/>
      <c r="I43" s="73"/>
    </row>
    <row r="44" spans="1:9" x14ac:dyDescent="0.2">
      <c r="A44" s="62"/>
      <c r="B44" s="72"/>
      <c r="C44" s="62"/>
      <c r="D44" s="62"/>
      <c r="E44" s="62"/>
      <c r="F44" s="62"/>
      <c r="G44" s="62"/>
      <c r="H44" s="73"/>
      <c r="I44" s="73"/>
    </row>
    <row r="45" spans="1:9" x14ac:dyDescent="0.2">
      <c r="A45" s="62"/>
      <c r="B45" s="72"/>
      <c r="C45" s="62"/>
      <c r="D45" s="62"/>
      <c r="E45" s="62"/>
      <c r="F45" s="62"/>
      <c r="G45" s="62"/>
      <c r="H45" s="73"/>
      <c r="I45" s="73"/>
    </row>
    <row r="46" spans="1:9" x14ac:dyDescent="0.2">
      <c r="A46" s="62"/>
      <c r="B46" s="72"/>
      <c r="C46" s="62"/>
      <c r="D46" s="62"/>
      <c r="E46" s="62"/>
      <c r="F46" s="62"/>
      <c r="G46" s="62"/>
      <c r="H46" s="73"/>
      <c r="I46" s="73"/>
    </row>
    <row r="47" spans="1:9" x14ac:dyDescent="0.2">
      <c r="A47" s="62"/>
      <c r="B47" s="72"/>
      <c r="C47" s="62"/>
      <c r="D47" s="62"/>
      <c r="E47" s="62"/>
      <c r="F47" s="62"/>
      <c r="G47" s="62"/>
      <c r="H47" s="73"/>
      <c r="I47" s="73"/>
    </row>
    <row r="48" spans="1:9" x14ac:dyDescent="0.2">
      <c r="A48" s="62"/>
      <c r="B48" s="72"/>
      <c r="C48" s="62"/>
      <c r="D48" s="62"/>
      <c r="E48" s="62"/>
      <c r="F48" s="62"/>
      <c r="G48" s="62"/>
      <c r="H48" s="73"/>
      <c r="I48" s="73"/>
    </row>
    <row r="49" spans="1:9" x14ac:dyDescent="0.2">
      <c r="A49" s="62"/>
      <c r="B49" s="72"/>
      <c r="C49" s="62"/>
      <c r="D49" s="62"/>
      <c r="E49" s="62"/>
      <c r="F49" s="62"/>
      <c r="G49" s="62"/>
      <c r="H49" s="73"/>
      <c r="I49" s="73"/>
    </row>
    <row r="50" spans="1:9" x14ac:dyDescent="0.2">
      <c r="A50" s="62"/>
      <c r="B50" s="72"/>
      <c r="C50" s="62"/>
      <c r="D50" s="62"/>
      <c r="E50" s="62"/>
      <c r="F50" s="62"/>
      <c r="G50" s="62"/>
      <c r="H50" s="73"/>
      <c r="I50" s="73"/>
    </row>
    <row r="51" spans="1:9" x14ac:dyDescent="0.2">
      <c r="A51" s="62"/>
      <c r="B51" s="72"/>
      <c r="C51" s="62"/>
      <c r="D51" s="62"/>
      <c r="E51" s="62"/>
      <c r="F51" s="62"/>
      <c r="G51" s="62"/>
      <c r="H51" s="73"/>
      <c r="I51" s="73"/>
    </row>
    <row r="52" spans="1:9" x14ac:dyDescent="0.2">
      <c r="A52" s="62"/>
      <c r="B52" s="72"/>
      <c r="C52" s="62"/>
      <c r="D52" s="62"/>
      <c r="E52" s="62"/>
      <c r="F52" s="62"/>
      <c r="G52" s="62"/>
      <c r="H52" s="73"/>
      <c r="I52" s="73"/>
    </row>
    <row r="53" spans="1:9" x14ac:dyDescent="0.2">
      <c r="A53" s="62"/>
      <c r="B53" s="72"/>
      <c r="C53" s="62"/>
      <c r="D53" s="62"/>
      <c r="E53" s="62"/>
      <c r="F53" s="62"/>
      <c r="G53" s="62"/>
      <c r="H53" s="73"/>
      <c r="I53" s="73"/>
    </row>
    <row r="54" spans="1:9" x14ac:dyDescent="0.2">
      <c r="A54" s="62"/>
      <c r="B54" s="72"/>
      <c r="C54" s="62"/>
      <c r="D54" s="62"/>
      <c r="E54" s="62"/>
      <c r="F54" s="62"/>
      <c r="G54" s="62"/>
      <c r="H54" s="73"/>
      <c r="I54" s="73"/>
    </row>
    <row r="55" spans="1:9" x14ac:dyDescent="0.2">
      <c r="A55" s="62"/>
      <c r="B55" s="72"/>
      <c r="C55" s="62"/>
      <c r="D55" s="62"/>
      <c r="E55" s="62"/>
      <c r="F55" s="62"/>
      <c r="G55" s="62"/>
      <c r="H55" s="73"/>
      <c r="I55" s="73"/>
    </row>
    <row r="56" spans="1:9" x14ac:dyDescent="0.2">
      <c r="A56" s="62"/>
      <c r="B56" s="72"/>
      <c r="C56" s="62"/>
      <c r="D56" s="62"/>
      <c r="E56" s="62"/>
      <c r="F56" s="62"/>
      <c r="G56" s="62"/>
      <c r="H56" s="73"/>
      <c r="I56" s="73"/>
    </row>
    <row r="57" spans="1:9" x14ac:dyDescent="0.2">
      <c r="A57" s="62"/>
      <c r="B57" s="72"/>
      <c r="C57" s="62"/>
      <c r="D57" s="62"/>
      <c r="E57" s="62"/>
      <c r="F57" s="62"/>
      <c r="G57" s="62"/>
      <c r="H57" s="73"/>
      <c r="I57" s="73"/>
    </row>
    <row r="58" spans="1:9" x14ac:dyDescent="0.2">
      <c r="A58" s="62"/>
      <c r="B58" s="72"/>
      <c r="C58" s="62"/>
      <c r="D58" s="62"/>
      <c r="E58" s="62"/>
      <c r="F58" s="62"/>
      <c r="G58" s="62"/>
      <c r="H58" s="73"/>
      <c r="I58" s="73"/>
    </row>
    <row r="59" spans="1:9" x14ac:dyDescent="0.2">
      <c r="A59" s="62"/>
      <c r="B59" s="72"/>
      <c r="C59" s="62"/>
      <c r="D59" s="62"/>
      <c r="E59" s="62"/>
      <c r="F59" s="62"/>
      <c r="G59" s="62"/>
      <c r="H59" s="73"/>
      <c r="I59" s="73"/>
    </row>
    <row r="60" spans="1:9" x14ac:dyDescent="0.2">
      <c r="A60" s="62"/>
      <c r="B60" s="72"/>
      <c r="C60" s="62"/>
      <c r="D60" s="62"/>
      <c r="E60" s="62"/>
      <c r="F60" s="62"/>
      <c r="G60" s="62"/>
      <c r="H60" s="73"/>
      <c r="I60" s="73"/>
    </row>
    <row r="61" spans="1:9" x14ac:dyDescent="0.2">
      <c r="A61" s="62"/>
      <c r="B61" s="72"/>
      <c r="C61" s="62"/>
      <c r="D61" s="62"/>
      <c r="E61" s="62"/>
      <c r="F61" s="62"/>
      <c r="G61" s="62"/>
      <c r="H61" s="73"/>
      <c r="I61" s="73"/>
    </row>
    <row r="62" spans="1:9" x14ac:dyDescent="0.2">
      <c r="A62" s="62"/>
      <c r="B62" s="72"/>
      <c r="C62" s="62"/>
      <c r="D62" s="62"/>
      <c r="E62" s="62"/>
      <c r="F62" s="62"/>
      <c r="G62" s="62"/>
      <c r="H62" s="73"/>
      <c r="I62" s="73"/>
    </row>
    <row r="63" spans="1:9" x14ac:dyDescent="0.2">
      <c r="A63" s="62"/>
      <c r="B63" s="72"/>
      <c r="C63" s="62"/>
      <c r="D63" s="62"/>
      <c r="E63" s="62"/>
      <c r="F63" s="62"/>
      <c r="G63" s="62"/>
      <c r="H63" s="73"/>
      <c r="I63" s="73"/>
    </row>
    <row r="64" spans="1:9" x14ac:dyDescent="0.2">
      <c r="A64" s="62"/>
      <c r="B64" s="72"/>
      <c r="C64" s="62"/>
      <c r="D64" s="62"/>
      <c r="E64" s="62"/>
      <c r="F64" s="62"/>
      <c r="G64" s="62"/>
      <c r="H64" s="73"/>
      <c r="I64" s="73"/>
    </row>
    <row r="65" spans="1:9" x14ac:dyDescent="0.2">
      <c r="A65" s="62"/>
      <c r="B65" s="72"/>
      <c r="C65" s="62"/>
      <c r="D65" s="62"/>
      <c r="E65" s="62"/>
      <c r="F65" s="62"/>
      <c r="G65" s="62"/>
      <c r="H65" s="73"/>
      <c r="I65" s="73"/>
    </row>
    <row r="66" spans="1:9" x14ac:dyDescent="0.2">
      <c r="A66" s="62"/>
      <c r="B66" s="72"/>
      <c r="C66" s="62"/>
      <c r="D66" s="62"/>
      <c r="E66" s="62"/>
      <c r="F66" s="62"/>
      <c r="G66" s="62"/>
      <c r="H66" s="73"/>
      <c r="I66" s="73"/>
    </row>
    <row r="67" spans="1:9" x14ac:dyDescent="0.2">
      <c r="A67" s="62"/>
      <c r="B67" s="72"/>
      <c r="C67" s="62"/>
      <c r="D67" s="62"/>
      <c r="E67" s="62"/>
      <c r="F67" s="62"/>
      <c r="G67" s="62"/>
      <c r="H67" s="73"/>
      <c r="I67" s="73"/>
    </row>
    <row r="68" spans="1:9" x14ac:dyDescent="0.2">
      <c r="A68" s="62"/>
      <c r="B68" s="72"/>
      <c r="C68" s="62"/>
      <c r="D68" s="62"/>
      <c r="E68" s="62"/>
      <c r="F68" s="62"/>
      <c r="G68" s="62"/>
      <c r="H68" s="73"/>
      <c r="I68" s="73"/>
    </row>
    <row r="69" spans="1:9" x14ac:dyDescent="0.2">
      <c r="A69" s="62"/>
      <c r="B69" s="72"/>
      <c r="C69" s="62"/>
      <c r="D69" s="62"/>
      <c r="E69" s="62"/>
      <c r="F69" s="62"/>
      <c r="G69" s="62"/>
      <c r="H69" s="73"/>
      <c r="I69" s="73"/>
    </row>
    <row r="70" spans="1:9" x14ac:dyDescent="0.2">
      <c r="A70" s="62"/>
      <c r="B70" s="72"/>
      <c r="C70" s="62"/>
      <c r="D70" s="62"/>
      <c r="E70" s="62"/>
      <c r="F70" s="62"/>
      <c r="G70" s="62"/>
      <c r="H70" s="73"/>
      <c r="I70" s="73"/>
    </row>
    <row r="71" spans="1:9" x14ac:dyDescent="0.2">
      <c r="A71" s="62"/>
      <c r="B71" s="72"/>
      <c r="C71" s="62"/>
      <c r="D71" s="62"/>
      <c r="E71" s="62"/>
      <c r="F71" s="62"/>
      <c r="G71" s="62"/>
      <c r="H71" s="73"/>
      <c r="I71" s="73"/>
    </row>
    <row r="72" spans="1:9" x14ac:dyDescent="0.2">
      <c r="A72" s="62"/>
      <c r="B72" s="72"/>
      <c r="C72" s="62"/>
      <c r="D72" s="62"/>
      <c r="E72" s="62"/>
      <c r="F72" s="62"/>
      <c r="G72" s="62"/>
      <c r="H72" s="73"/>
      <c r="I72" s="73"/>
    </row>
    <row r="73" spans="1:9" x14ac:dyDescent="0.2">
      <c r="A73" s="62"/>
      <c r="B73" s="72"/>
      <c r="C73" s="62"/>
      <c r="D73" s="62"/>
      <c r="E73" s="62"/>
      <c r="F73" s="62"/>
      <c r="G73" s="62"/>
      <c r="H73" s="73"/>
      <c r="I73" s="73"/>
    </row>
    <row r="74" spans="1:9" x14ac:dyDescent="0.2">
      <c r="A74" s="62"/>
      <c r="B74" s="72"/>
      <c r="C74" s="62"/>
      <c r="D74" s="62"/>
      <c r="E74" s="62"/>
      <c r="F74" s="62"/>
      <c r="G74" s="62"/>
      <c r="H74" s="73"/>
      <c r="I74" s="73"/>
    </row>
    <row r="75" spans="1:9" x14ac:dyDescent="0.2">
      <c r="A75" s="62"/>
      <c r="B75" s="72"/>
      <c r="C75" s="62"/>
      <c r="D75" s="62"/>
      <c r="E75" s="62"/>
      <c r="F75" s="62"/>
      <c r="G75" s="62"/>
      <c r="H75" s="73"/>
      <c r="I75" s="73"/>
    </row>
    <row r="76" spans="1:9" x14ac:dyDescent="0.2">
      <c r="A76" s="62"/>
      <c r="B76" s="72"/>
      <c r="C76" s="62"/>
      <c r="D76" s="62"/>
      <c r="E76" s="62"/>
      <c r="F76" s="62"/>
      <c r="G76" s="62"/>
      <c r="H76" s="73"/>
      <c r="I76" s="73"/>
    </row>
    <row r="77" spans="1:9" x14ac:dyDescent="0.2">
      <c r="A77" s="62"/>
      <c r="B77" s="72"/>
      <c r="C77" s="62"/>
      <c r="D77" s="62"/>
      <c r="E77" s="62"/>
      <c r="F77" s="62"/>
      <c r="G77" s="62"/>
      <c r="H77" s="73"/>
      <c r="I77" s="73"/>
    </row>
    <row r="78" spans="1:9" x14ac:dyDescent="0.2">
      <c r="A78" s="62"/>
      <c r="B78" s="72"/>
      <c r="C78" s="62"/>
      <c r="D78" s="62"/>
      <c r="E78" s="62"/>
      <c r="F78" s="62"/>
      <c r="G78" s="62"/>
      <c r="H78" s="73"/>
      <c r="I78" s="73"/>
    </row>
    <row r="79" spans="1:9" x14ac:dyDescent="0.2">
      <c r="A79" s="62"/>
      <c r="B79" s="72"/>
      <c r="C79" s="62"/>
      <c r="D79" s="62"/>
      <c r="E79" s="62"/>
      <c r="F79" s="62"/>
      <c r="G79" s="62"/>
      <c r="H79" s="73"/>
      <c r="I79" s="73"/>
    </row>
    <row r="80" spans="1:9" x14ac:dyDescent="0.2">
      <c r="A80" s="62"/>
      <c r="B80" s="72"/>
      <c r="C80" s="62"/>
      <c r="D80" s="62"/>
      <c r="E80" s="62"/>
      <c r="F80" s="62"/>
      <c r="G80" s="62"/>
      <c r="H80" s="73"/>
      <c r="I80" s="73"/>
    </row>
    <row r="81" spans="1:9" x14ac:dyDescent="0.2">
      <c r="A81" s="62"/>
      <c r="B81" s="72"/>
      <c r="C81" s="62"/>
      <c r="D81" s="62"/>
      <c r="E81" s="62"/>
      <c r="F81" s="62"/>
      <c r="G81" s="62"/>
      <c r="H81" s="73"/>
      <c r="I81" s="73"/>
    </row>
    <row r="82" spans="1:9" x14ac:dyDescent="0.2">
      <c r="A82" s="62"/>
      <c r="B82" s="72"/>
      <c r="C82" s="62"/>
      <c r="D82" s="62"/>
      <c r="E82" s="62"/>
      <c r="F82" s="62"/>
      <c r="G82" s="62"/>
      <c r="H82" s="73"/>
      <c r="I82" s="73"/>
    </row>
    <row r="83" spans="1:9" x14ac:dyDescent="0.2">
      <c r="A83" s="62"/>
      <c r="B83" s="72"/>
      <c r="C83" s="62"/>
      <c r="D83" s="62"/>
      <c r="E83" s="62"/>
      <c r="F83" s="62"/>
      <c r="G83" s="62"/>
      <c r="H83" s="73"/>
      <c r="I83" s="73"/>
    </row>
    <row r="84" spans="1:9" x14ac:dyDescent="0.2">
      <c r="A84" s="62"/>
      <c r="B84" s="72"/>
      <c r="C84" s="62"/>
      <c r="D84" s="62"/>
      <c r="E84" s="62"/>
      <c r="F84" s="62"/>
      <c r="G84" s="62"/>
      <c r="H84" s="73"/>
      <c r="I84" s="73"/>
    </row>
    <row r="85" spans="1:9" x14ac:dyDescent="0.2">
      <c r="A85" s="62"/>
      <c r="B85" s="72"/>
      <c r="C85" s="62"/>
      <c r="D85" s="62"/>
      <c r="E85" s="62"/>
      <c r="F85" s="62"/>
      <c r="G85" s="62"/>
      <c r="H85" s="73"/>
      <c r="I85" s="73"/>
    </row>
    <row r="86" spans="1:9" x14ac:dyDescent="0.2">
      <c r="A86" s="62"/>
      <c r="B86" s="72"/>
      <c r="C86" s="62"/>
      <c r="D86" s="62"/>
      <c r="E86" s="62"/>
      <c r="F86" s="62"/>
      <c r="G86" s="62"/>
      <c r="H86" s="73"/>
      <c r="I86" s="73"/>
    </row>
    <row r="87" spans="1:9" x14ac:dyDescent="0.2">
      <c r="A87" s="62"/>
      <c r="B87" s="72"/>
      <c r="C87" s="62"/>
      <c r="D87" s="62"/>
      <c r="E87" s="62"/>
      <c r="F87" s="62"/>
      <c r="G87" s="62"/>
      <c r="H87" s="73"/>
      <c r="I87" s="73"/>
    </row>
    <row r="88" spans="1:9" x14ac:dyDescent="0.2">
      <c r="A88" s="62"/>
      <c r="B88" s="72"/>
      <c r="C88" s="62"/>
      <c r="D88" s="62"/>
      <c r="E88" s="62"/>
      <c r="F88" s="62"/>
      <c r="G88" s="62"/>
      <c r="H88" s="73"/>
      <c r="I88" s="73"/>
    </row>
    <row r="89" spans="1:9" x14ac:dyDescent="0.2">
      <c r="A89" s="62"/>
      <c r="B89" s="72"/>
      <c r="C89" s="62"/>
      <c r="D89" s="62"/>
      <c r="E89" s="62"/>
      <c r="F89" s="62"/>
      <c r="G89" s="62"/>
      <c r="H89" s="73"/>
      <c r="I89" s="73"/>
    </row>
    <row r="90" spans="1:9" x14ac:dyDescent="0.2">
      <c r="A90" s="62"/>
      <c r="B90" s="72"/>
      <c r="C90" s="62"/>
      <c r="D90" s="62"/>
      <c r="E90" s="62"/>
      <c r="F90" s="62"/>
      <c r="G90" s="62"/>
      <c r="H90" s="73"/>
      <c r="I90" s="73"/>
    </row>
    <row r="91" spans="1:9" x14ac:dyDescent="0.2">
      <c r="A91" s="62"/>
      <c r="B91" s="72"/>
      <c r="C91" s="62"/>
      <c r="D91" s="62"/>
      <c r="E91" s="62"/>
      <c r="F91" s="62"/>
      <c r="G91" s="62"/>
      <c r="H91" s="73"/>
      <c r="I91" s="73"/>
    </row>
    <row r="92" spans="1:9" x14ac:dyDescent="0.2">
      <c r="A92" s="62"/>
      <c r="B92" s="72"/>
      <c r="C92" s="62"/>
      <c r="D92" s="62"/>
      <c r="E92" s="62"/>
      <c r="F92" s="62"/>
      <c r="G92" s="62"/>
      <c r="H92" s="73"/>
      <c r="I92" s="73"/>
    </row>
    <row r="93" spans="1:9" x14ac:dyDescent="0.2">
      <c r="A93" s="62"/>
      <c r="B93" s="72"/>
      <c r="C93" s="62"/>
      <c r="D93" s="62"/>
      <c r="E93" s="62"/>
      <c r="F93" s="62"/>
      <c r="G93" s="62"/>
      <c r="H93" s="73"/>
      <c r="I93" s="73"/>
    </row>
    <row r="94" spans="1:9" x14ac:dyDescent="0.2">
      <c r="A94" s="62"/>
      <c r="B94" s="72"/>
      <c r="C94" s="62"/>
      <c r="D94" s="62"/>
      <c r="E94" s="62"/>
      <c r="F94" s="62"/>
      <c r="G94" s="62"/>
      <c r="H94" s="73"/>
      <c r="I94" s="73"/>
    </row>
    <row r="95" spans="1:9" x14ac:dyDescent="0.2">
      <c r="A95" s="62"/>
      <c r="B95" s="72"/>
      <c r="C95" s="62"/>
      <c r="D95" s="62"/>
      <c r="E95" s="62"/>
      <c r="F95" s="62"/>
      <c r="G95" s="62"/>
      <c r="H95" s="73"/>
      <c r="I95" s="73"/>
    </row>
    <row r="96" spans="1:9" x14ac:dyDescent="0.2">
      <c r="A96" s="62"/>
      <c r="B96" s="72"/>
      <c r="C96" s="62"/>
      <c r="D96" s="62"/>
      <c r="E96" s="62"/>
      <c r="F96" s="62"/>
      <c r="G96" s="62"/>
      <c r="H96" s="73"/>
      <c r="I96" s="73"/>
    </row>
    <row r="97" spans="1:9" x14ac:dyDescent="0.2">
      <c r="A97" s="62"/>
      <c r="B97" s="72"/>
      <c r="C97" s="62"/>
      <c r="D97" s="62"/>
      <c r="E97" s="62"/>
      <c r="F97" s="62"/>
      <c r="G97" s="62"/>
      <c r="H97" s="73"/>
      <c r="I97" s="73"/>
    </row>
    <row r="98" spans="1:9" x14ac:dyDescent="0.2">
      <c r="A98" s="62"/>
      <c r="B98" s="72"/>
      <c r="C98" s="62"/>
      <c r="D98" s="62"/>
      <c r="E98" s="62"/>
      <c r="F98" s="62"/>
      <c r="G98" s="62"/>
      <c r="H98" s="73"/>
      <c r="I98" s="73"/>
    </row>
    <row r="99" spans="1:9" x14ac:dyDescent="0.2">
      <c r="A99" s="62"/>
      <c r="B99" s="72"/>
      <c r="C99" s="62"/>
      <c r="D99" s="62"/>
      <c r="E99" s="62"/>
      <c r="F99" s="62"/>
      <c r="G99" s="62"/>
      <c r="H99" s="73"/>
      <c r="I99" s="73"/>
    </row>
    <row r="100" spans="1:9" x14ac:dyDescent="0.2">
      <c r="A100" s="62"/>
      <c r="B100" s="72"/>
      <c r="C100" s="62"/>
      <c r="D100" s="62"/>
      <c r="E100" s="62"/>
      <c r="F100" s="62"/>
      <c r="G100" s="62"/>
      <c r="H100" s="73"/>
      <c r="I100" s="73"/>
    </row>
  </sheetData>
  <dataValidations count="5">
    <dataValidation type="list" allowBlank="1" showInputMessage="1" showErrorMessage="1" sqref="D2:D100" xr:uid="{00000000-0002-0000-0700-000000000000}">
      <formula1>eMySQLDataType</formula1>
    </dataValidation>
    <dataValidation type="list" allowBlank="1" showInputMessage="1" showErrorMessage="1" sqref="I2:I100 F2:F100" xr:uid="{00000000-0002-0000-0700-000001000000}">
      <formula1>"TRUE,FALSE"</formula1>
    </dataValidation>
    <dataValidation type="whole" allowBlank="1" showInputMessage="1" showErrorMessage="1" sqref="E2:E100" xr:uid="{00000000-0002-0000-0700-000002000000}">
      <formula1>1</formula1>
      <formula2>1024</formula2>
    </dataValidation>
    <dataValidation type="list" allowBlank="1" showInputMessage="1" showErrorMessage="1" sqref="B2:B100" xr:uid="{00000000-0002-0000-0700-000003000000}">
      <formula1>ePredefined</formula1>
    </dataValidation>
    <dataValidation type="list" allowBlank="1" showInputMessage="1" showErrorMessage="1" sqref="G2:G100" xr:uid="{00000000-0002-0000-0700-000004000000}">
      <formula1>eMySQLDefault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256"/>
  <sheetViews>
    <sheetView workbookViewId="0"/>
  </sheetViews>
  <sheetFormatPr defaultRowHeight="12.75" x14ac:dyDescent="0.2"/>
  <cols>
    <col min="1" max="1" width="141.140625" customWidth="1"/>
  </cols>
  <sheetData>
    <row r="1" spans="1:1" x14ac:dyDescent="0.2">
      <c r="A1" s="41" t="s">
        <v>809</v>
      </c>
    </row>
    <row r="2" spans="1:1" x14ac:dyDescent="0.2">
      <c r="A2" s="41" t="s">
        <v>810</v>
      </c>
    </row>
    <row r="3" spans="1:1" x14ac:dyDescent="0.2">
      <c r="A3" s="42" t="s">
        <v>238</v>
      </c>
    </row>
    <row r="4" spans="1:1" x14ac:dyDescent="0.2">
      <c r="A4" s="42" t="s">
        <v>239</v>
      </c>
    </row>
    <row r="5" spans="1:1" x14ac:dyDescent="0.2">
      <c r="A5" s="42" t="s">
        <v>240</v>
      </c>
    </row>
    <row r="6" spans="1:1" x14ac:dyDescent="0.2">
      <c r="A6" s="42" t="s">
        <v>273</v>
      </c>
    </row>
    <row r="7" spans="1:1" x14ac:dyDescent="0.2">
      <c r="A7" s="41" t="s">
        <v>274</v>
      </c>
    </row>
    <row r="8" spans="1:1" x14ac:dyDescent="0.2">
      <c r="A8" s="41"/>
    </row>
    <row r="9" spans="1:1" x14ac:dyDescent="0.2">
      <c r="A9" s="41" t="s">
        <v>811</v>
      </c>
    </row>
    <row r="10" spans="1:1" x14ac:dyDescent="0.2">
      <c r="A10" s="41" t="s">
        <v>812</v>
      </c>
    </row>
    <row r="11" spans="1:1" x14ac:dyDescent="0.2">
      <c r="A11" s="42" t="s">
        <v>238</v>
      </c>
    </row>
    <row r="12" spans="1:1" x14ac:dyDescent="0.2">
      <c r="A12" s="42" t="s">
        <v>239</v>
      </c>
    </row>
    <row r="13" spans="1:1" x14ac:dyDescent="0.2">
      <c r="A13" s="42" t="s">
        <v>241</v>
      </c>
    </row>
    <row r="14" spans="1:1" x14ac:dyDescent="0.2">
      <c r="A14" s="42" t="s">
        <v>242</v>
      </c>
    </row>
    <row r="15" spans="1:1" x14ac:dyDescent="0.2">
      <c r="A15" s="42" t="s">
        <v>243</v>
      </c>
    </row>
    <row r="16" spans="1:1" x14ac:dyDescent="0.2">
      <c r="A16" s="42" t="s">
        <v>273</v>
      </c>
    </row>
    <row r="17" spans="1:1" x14ac:dyDescent="0.2">
      <c r="A17" s="41" t="s">
        <v>274</v>
      </c>
    </row>
    <row r="18" spans="1:1" x14ac:dyDescent="0.2">
      <c r="A18" s="41"/>
    </row>
    <row r="19" spans="1:1" x14ac:dyDescent="0.2">
      <c r="A19" s="41" t="s">
        <v>813</v>
      </c>
    </row>
    <row r="20" spans="1:1" x14ac:dyDescent="0.2">
      <c r="A20" s="41" t="s">
        <v>814</v>
      </c>
    </row>
    <row r="21" spans="1:1" x14ac:dyDescent="0.2">
      <c r="A21" s="42" t="s">
        <v>238</v>
      </c>
    </row>
    <row r="22" spans="1:1" x14ac:dyDescent="0.2">
      <c r="A22" s="42" t="s">
        <v>239</v>
      </c>
    </row>
    <row r="23" spans="1:1" x14ac:dyDescent="0.2">
      <c r="A23" s="42" t="s">
        <v>244</v>
      </c>
    </row>
    <row r="24" spans="1:1" x14ac:dyDescent="0.2">
      <c r="A24" s="42" t="s">
        <v>245</v>
      </c>
    </row>
    <row r="25" spans="1:1" x14ac:dyDescent="0.2">
      <c r="A25" s="42" t="s">
        <v>246</v>
      </c>
    </row>
    <row r="26" spans="1:1" x14ac:dyDescent="0.2">
      <c r="A26" s="42" t="s">
        <v>242</v>
      </c>
    </row>
    <row r="27" spans="1:1" x14ac:dyDescent="0.2">
      <c r="A27" s="42" t="s">
        <v>241</v>
      </c>
    </row>
    <row r="28" spans="1:1" x14ac:dyDescent="0.2">
      <c r="A28" s="42" t="s">
        <v>247</v>
      </c>
    </row>
    <row r="29" spans="1:1" x14ac:dyDescent="0.2">
      <c r="A29" s="42" t="s">
        <v>273</v>
      </c>
    </row>
    <row r="30" spans="1:1" x14ac:dyDescent="0.2">
      <c r="A30" s="41" t="s">
        <v>274</v>
      </c>
    </row>
    <row r="31" spans="1:1" x14ac:dyDescent="0.2">
      <c r="A31" s="41"/>
    </row>
    <row r="32" spans="1:1" x14ac:dyDescent="0.2">
      <c r="A32" s="41" t="s">
        <v>815</v>
      </c>
    </row>
    <row r="33" spans="1:1" x14ac:dyDescent="0.2">
      <c r="A33" s="41" t="s">
        <v>816</v>
      </c>
    </row>
    <row r="34" spans="1:1" x14ac:dyDescent="0.2">
      <c r="A34" s="42" t="s">
        <v>238</v>
      </c>
    </row>
    <row r="35" spans="1:1" x14ac:dyDescent="0.2">
      <c r="A35" s="42" t="s">
        <v>248</v>
      </c>
    </row>
    <row r="36" spans="1:1" x14ac:dyDescent="0.2">
      <c r="A36" s="42" t="s">
        <v>239</v>
      </c>
    </row>
    <row r="37" spans="1:1" x14ac:dyDescent="0.2">
      <c r="A37" s="42" t="s">
        <v>249</v>
      </c>
    </row>
    <row r="38" spans="1:1" x14ac:dyDescent="0.2">
      <c r="A38" s="42" t="s">
        <v>250</v>
      </c>
    </row>
    <row r="39" spans="1:1" x14ac:dyDescent="0.2">
      <c r="A39" s="42" t="s">
        <v>241</v>
      </c>
    </row>
    <row r="40" spans="1:1" x14ac:dyDescent="0.2">
      <c r="A40" s="42" t="s">
        <v>242</v>
      </c>
    </row>
    <row r="41" spans="1:1" x14ac:dyDescent="0.2">
      <c r="A41" s="42" t="s">
        <v>273</v>
      </c>
    </row>
    <row r="42" spans="1:1" x14ac:dyDescent="0.2">
      <c r="A42" s="41" t="s">
        <v>274</v>
      </c>
    </row>
    <row r="43" spans="1:1" x14ac:dyDescent="0.2">
      <c r="A43" s="41"/>
    </row>
    <row r="44" spans="1:1" x14ac:dyDescent="0.2">
      <c r="A44" s="41" t="s">
        <v>817</v>
      </c>
    </row>
    <row r="45" spans="1:1" x14ac:dyDescent="0.2">
      <c r="A45" s="41" t="s">
        <v>818</v>
      </c>
    </row>
    <row r="46" spans="1:1" x14ac:dyDescent="0.2">
      <c r="A46" s="42" t="s">
        <v>238</v>
      </c>
    </row>
    <row r="47" spans="1:1" x14ac:dyDescent="0.2">
      <c r="A47" s="42" t="s">
        <v>239</v>
      </c>
    </row>
    <row r="48" spans="1:1" x14ac:dyDescent="0.2">
      <c r="A48" s="42" t="s">
        <v>241</v>
      </c>
    </row>
    <row r="49" spans="1:1" x14ac:dyDescent="0.2">
      <c r="A49" s="42" t="s">
        <v>273</v>
      </c>
    </row>
    <row r="50" spans="1:1" x14ac:dyDescent="0.2">
      <c r="A50" s="41" t="s">
        <v>274</v>
      </c>
    </row>
    <row r="51" spans="1:1" x14ac:dyDescent="0.2">
      <c r="A51" s="41"/>
    </row>
    <row r="52" spans="1:1" x14ac:dyDescent="0.2">
      <c r="A52" s="41" t="s">
        <v>819</v>
      </c>
    </row>
    <row r="53" spans="1:1" x14ac:dyDescent="0.2">
      <c r="A53" s="41" t="s">
        <v>820</v>
      </c>
    </row>
    <row r="54" spans="1:1" x14ac:dyDescent="0.2">
      <c r="A54" s="42" t="s">
        <v>238</v>
      </c>
    </row>
    <row r="55" spans="1:1" x14ac:dyDescent="0.2">
      <c r="A55" s="42" t="s">
        <v>262</v>
      </c>
    </row>
    <row r="56" spans="1:1" x14ac:dyDescent="0.2">
      <c r="A56" s="42" t="s">
        <v>239</v>
      </c>
    </row>
    <row r="57" spans="1:1" x14ac:dyDescent="0.2">
      <c r="A57" s="42" t="s">
        <v>251</v>
      </c>
    </row>
    <row r="58" spans="1:1" x14ac:dyDescent="0.2">
      <c r="A58" s="42" t="s">
        <v>890</v>
      </c>
    </row>
    <row r="59" spans="1:1" x14ac:dyDescent="0.2">
      <c r="A59" s="42" t="s">
        <v>891</v>
      </c>
    </row>
    <row r="60" spans="1:1" x14ac:dyDescent="0.2">
      <c r="A60" s="42" t="s">
        <v>273</v>
      </c>
    </row>
    <row r="61" spans="1:1" x14ac:dyDescent="0.2">
      <c r="A61" s="41" t="s">
        <v>274</v>
      </c>
    </row>
    <row r="62" spans="1:1" x14ac:dyDescent="0.2">
      <c r="A62" s="41"/>
    </row>
    <row r="63" spans="1:1" x14ac:dyDescent="0.2">
      <c r="A63" s="41" t="s">
        <v>821</v>
      </c>
    </row>
    <row r="64" spans="1:1" x14ac:dyDescent="0.2">
      <c r="A64" s="41" t="s">
        <v>822</v>
      </c>
    </row>
    <row r="65" spans="1:1" x14ac:dyDescent="0.2">
      <c r="A65" s="42" t="s">
        <v>238</v>
      </c>
    </row>
    <row r="66" spans="1:1" x14ac:dyDescent="0.2">
      <c r="A66" s="42" t="s">
        <v>252</v>
      </c>
    </row>
    <row r="67" spans="1:1" x14ac:dyDescent="0.2">
      <c r="A67" s="42" t="s">
        <v>253</v>
      </c>
    </row>
    <row r="68" spans="1:1" x14ac:dyDescent="0.2">
      <c r="A68" s="42" t="s">
        <v>254</v>
      </c>
    </row>
    <row r="69" spans="1:1" x14ac:dyDescent="0.2">
      <c r="A69" s="42" t="s">
        <v>255</v>
      </c>
    </row>
    <row r="70" spans="1:1" x14ac:dyDescent="0.2">
      <c r="A70" s="42" t="s">
        <v>256</v>
      </c>
    </row>
    <row r="71" spans="1:1" x14ac:dyDescent="0.2">
      <c r="A71" s="42" t="s">
        <v>242</v>
      </c>
    </row>
    <row r="72" spans="1:1" x14ac:dyDescent="0.2">
      <c r="A72" s="42" t="s">
        <v>273</v>
      </c>
    </row>
    <row r="73" spans="1:1" x14ac:dyDescent="0.2">
      <c r="A73" s="41" t="s">
        <v>274</v>
      </c>
    </row>
    <row r="74" spans="1:1" x14ac:dyDescent="0.2">
      <c r="A74" s="41"/>
    </row>
    <row r="75" spans="1:1" x14ac:dyDescent="0.2">
      <c r="A75" s="41" t="s">
        <v>823</v>
      </c>
    </row>
    <row r="76" spans="1:1" x14ac:dyDescent="0.2">
      <c r="A76" s="41" t="s">
        <v>824</v>
      </c>
    </row>
    <row r="77" spans="1:1" x14ac:dyDescent="0.2">
      <c r="A77" s="42" t="s">
        <v>238</v>
      </c>
    </row>
    <row r="78" spans="1:1" x14ac:dyDescent="0.2">
      <c r="A78" s="42" t="s">
        <v>239</v>
      </c>
    </row>
    <row r="79" spans="1:1" x14ac:dyDescent="0.2">
      <c r="A79" s="42" t="s">
        <v>240</v>
      </c>
    </row>
    <row r="80" spans="1:1" x14ac:dyDescent="0.2">
      <c r="A80" s="42" t="s">
        <v>273</v>
      </c>
    </row>
    <row r="81" spans="1:1" x14ac:dyDescent="0.2">
      <c r="A81" s="41" t="s">
        <v>274</v>
      </c>
    </row>
    <row r="82" spans="1:1" x14ac:dyDescent="0.2">
      <c r="A82" s="41"/>
    </row>
    <row r="83" spans="1:1" x14ac:dyDescent="0.2">
      <c r="A83" s="41" t="s">
        <v>825</v>
      </c>
    </row>
    <row r="84" spans="1:1" x14ac:dyDescent="0.2">
      <c r="A84" s="41" t="s">
        <v>826</v>
      </c>
    </row>
    <row r="85" spans="1:1" x14ac:dyDescent="0.2">
      <c r="A85" s="42" t="s">
        <v>238</v>
      </c>
    </row>
    <row r="86" spans="1:1" x14ac:dyDescent="0.2">
      <c r="A86" s="42" t="s">
        <v>239</v>
      </c>
    </row>
    <row r="87" spans="1:1" x14ac:dyDescent="0.2">
      <c r="A87" s="42" t="s">
        <v>257</v>
      </c>
    </row>
    <row r="88" spans="1:1" x14ac:dyDescent="0.2">
      <c r="A88" s="42" t="s">
        <v>273</v>
      </c>
    </row>
    <row r="89" spans="1:1" x14ac:dyDescent="0.2">
      <c r="A89" s="41" t="s">
        <v>274</v>
      </c>
    </row>
    <row r="90" spans="1:1" x14ac:dyDescent="0.2">
      <c r="A90" s="41"/>
    </row>
    <row r="91" spans="1:1" x14ac:dyDescent="0.2">
      <c r="A91" s="41" t="s">
        <v>827</v>
      </c>
    </row>
    <row r="92" spans="1:1" x14ac:dyDescent="0.2">
      <c r="A92" s="41" t="s">
        <v>828</v>
      </c>
    </row>
    <row r="93" spans="1:1" x14ac:dyDescent="0.2">
      <c r="A93" s="42" t="s">
        <v>238</v>
      </c>
    </row>
    <row r="94" spans="1:1" x14ac:dyDescent="0.2">
      <c r="A94" s="42" t="s">
        <v>239</v>
      </c>
    </row>
    <row r="95" spans="1:1" x14ac:dyDescent="0.2">
      <c r="A95" s="42" t="s">
        <v>887</v>
      </c>
    </row>
    <row r="96" spans="1:1" x14ac:dyDescent="0.2">
      <c r="A96" s="42" t="s">
        <v>273</v>
      </c>
    </row>
    <row r="97" spans="1:1" x14ac:dyDescent="0.2">
      <c r="A97" s="41" t="s">
        <v>274</v>
      </c>
    </row>
    <row r="98" spans="1:1" x14ac:dyDescent="0.2">
      <c r="A98" s="41"/>
    </row>
    <row r="99" spans="1:1" x14ac:dyDescent="0.2">
      <c r="A99" s="41" t="s">
        <v>829</v>
      </c>
    </row>
    <row r="100" spans="1:1" x14ac:dyDescent="0.2">
      <c r="A100" s="41" t="s">
        <v>830</v>
      </c>
    </row>
    <row r="101" spans="1:1" x14ac:dyDescent="0.2">
      <c r="A101" s="42" t="s">
        <v>238</v>
      </c>
    </row>
    <row r="102" spans="1:1" x14ac:dyDescent="0.2">
      <c r="A102" s="42" t="s">
        <v>253</v>
      </c>
    </row>
    <row r="103" spans="1:1" x14ac:dyDescent="0.2">
      <c r="A103" s="42" t="s">
        <v>780</v>
      </c>
    </row>
    <row r="104" spans="1:1" x14ac:dyDescent="0.2">
      <c r="A104" s="42" t="s">
        <v>254</v>
      </c>
    </row>
    <row r="105" spans="1:1" x14ac:dyDescent="0.2">
      <c r="A105" s="42" t="s">
        <v>252</v>
      </c>
    </row>
    <row r="106" spans="1:1" x14ac:dyDescent="0.2">
      <c r="A106" s="42" t="s">
        <v>255</v>
      </c>
    </row>
    <row r="107" spans="1:1" x14ac:dyDescent="0.2">
      <c r="A107" s="42" t="s">
        <v>256</v>
      </c>
    </row>
    <row r="108" spans="1:1" x14ac:dyDescent="0.2">
      <c r="A108" s="42" t="s">
        <v>242</v>
      </c>
    </row>
    <row r="109" spans="1:1" x14ac:dyDescent="0.2">
      <c r="A109" s="42" t="s">
        <v>273</v>
      </c>
    </row>
    <row r="110" spans="1:1" x14ac:dyDescent="0.2">
      <c r="A110" s="41" t="s">
        <v>274</v>
      </c>
    </row>
    <row r="111" spans="1:1" x14ac:dyDescent="0.2">
      <c r="A111" s="41"/>
    </row>
    <row r="112" spans="1:1" x14ac:dyDescent="0.2">
      <c r="A112" s="41" t="s">
        <v>831</v>
      </c>
    </row>
    <row r="113" spans="1:1" x14ac:dyDescent="0.2">
      <c r="A113" s="41" t="s">
        <v>832</v>
      </c>
    </row>
    <row r="114" spans="1:1" x14ac:dyDescent="0.2">
      <c r="A114" s="42" t="s">
        <v>238</v>
      </c>
    </row>
    <row r="115" spans="1:1" x14ac:dyDescent="0.2">
      <c r="A115" s="42" t="s">
        <v>239</v>
      </c>
    </row>
    <row r="116" spans="1:1" x14ac:dyDescent="0.2">
      <c r="A116" s="42" t="s">
        <v>240</v>
      </c>
    </row>
    <row r="117" spans="1:1" x14ac:dyDescent="0.2">
      <c r="A117" s="42" t="s">
        <v>273</v>
      </c>
    </row>
    <row r="118" spans="1:1" x14ac:dyDescent="0.2">
      <c r="A118" s="41" t="s">
        <v>274</v>
      </c>
    </row>
    <row r="119" spans="1:1" x14ac:dyDescent="0.2">
      <c r="A119" s="41"/>
    </row>
    <row r="120" spans="1:1" x14ac:dyDescent="0.2">
      <c r="A120" s="41" t="s">
        <v>833</v>
      </c>
    </row>
    <row r="121" spans="1:1" x14ac:dyDescent="0.2">
      <c r="A121" s="41" t="s">
        <v>834</v>
      </c>
    </row>
    <row r="122" spans="1:1" x14ac:dyDescent="0.2">
      <c r="A122" s="42" t="s">
        <v>238</v>
      </c>
    </row>
    <row r="123" spans="1:1" x14ac:dyDescent="0.2">
      <c r="A123" s="42" t="s">
        <v>258</v>
      </c>
    </row>
    <row r="124" spans="1:1" x14ac:dyDescent="0.2">
      <c r="A124" s="42" t="s">
        <v>253</v>
      </c>
    </row>
    <row r="125" spans="1:1" x14ac:dyDescent="0.2">
      <c r="A125" s="42" t="s">
        <v>781</v>
      </c>
    </row>
    <row r="126" spans="1:1" x14ac:dyDescent="0.2">
      <c r="A126" s="42" t="s">
        <v>259</v>
      </c>
    </row>
    <row r="127" spans="1:1" x14ac:dyDescent="0.2">
      <c r="A127" s="42" t="s">
        <v>242</v>
      </c>
    </row>
    <row r="128" spans="1:1" x14ac:dyDescent="0.2">
      <c r="A128" s="42" t="s">
        <v>273</v>
      </c>
    </row>
    <row r="129" spans="1:1" x14ac:dyDescent="0.2">
      <c r="A129" s="41" t="s">
        <v>274</v>
      </c>
    </row>
    <row r="130" spans="1:1" x14ac:dyDescent="0.2">
      <c r="A130" s="41"/>
    </row>
    <row r="131" spans="1:1" x14ac:dyDescent="0.2">
      <c r="A131" s="41" t="s">
        <v>835</v>
      </c>
    </row>
    <row r="132" spans="1:1" x14ac:dyDescent="0.2">
      <c r="A132" s="41" t="s">
        <v>836</v>
      </c>
    </row>
    <row r="133" spans="1:1" x14ac:dyDescent="0.2">
      <c r="A133" s="42" t="s">
        <v>238</v>
      </c>
    </row>
    <row r="134" spans="1:1" x14ac:dyDescent="0.2">
      <c r="A134" s="42" t="s">
        <v>239</v>
      </c>
    </row>
    <row r="135" spans="1:1" x14ac:dyDescent="0.2">
      <c r="A135" s="42" t="s">
        <v>240</v>
      </c>
    </row>
    <row r="136" spans="1:1" x14ac:dyDescent="0.2">
      <c r="A136" s="42" t="s">
        <v>273</v>
      </c>
    </row>
    <row r="137" spans="1:1" x14ac:dyDescent="0.2">
      <c r="A137" s="41" t="s">
        <v>274</v>
      </c>
    </row>
    <row r="138" spans="1:1" x14ac:dyDescent="0.2">
      <c r="A138" s="41"/>
    </row>
    <row r="139" spans="1:1" x14ac:dyDescent="0.2">
      <c r="A139" s="41" t="s">
        <v>837</v>
      </c>
    </row>
    <row r="140" spans="1:1" x14ac:dyDescent="0.2">
      <c r="A140" s="41" t="s">
        <v>838</v>
      </c>
    </row>
    <row r="141" spans="1:1" x14ac:dyDescent="0.2">
      <c r="A141" s="42" t="s">
        <v>238</v>
      </c>
    </row>
    <row r="142" spans="1:1" x14ac:dyDescent="0.2">
      <c r="A142" s="42" t="s">
        <v>258</v>
      </c>
    </row>
    <row r="143" spans="1:1" x14ac:dyDescent="0.2">
      <c r="A143" s="42" t="s">
        <v>260</v>
      </c>
    </row>
    <row r="144" spans="1:1" x14ac:dyDescent="0.2">
      <c r="A144" s="42" t="s">
        <v>781</v>
      </c>
    </row>
    <row r="145" spans="1:1" x14ac:dyDescent="0.2">
      <c r="A145" s="42" t="s">
        <v>259</v>
      </c>
    </row>
    <row r="146" spans="1:1" x14ac:dyDescent="0.2">
      <c r="A146" s="42" t="s">
        <v>242</v>
      </c>
    </row>
    <row r="147" spans="1:1" x14ac:dyDescent="0.2">
      <c r="A147" s="42" t="s">
        <v>273</v>
      </c>
    </row>
    <row r="148" spans="1:1" x14ac:dyDescent="0.2">
      <c r="A148" s="41" t="s">
        <v>274</v>
      </c>
    </row>
    <row r="149" spans="1:1" x14ac:dyDescent="0.2">
      <c r="A149" s="41"/>
    </row>
    <row r="150" spans="1:1" x14ac:dyDescent="0.2">
      <c r="A150" s="41" t="s">
        <v>839</v>
      </c>
    </row>
    <row r="151" spans="1:1" x14ac:dyDescent="0.2">
      <c r="A151" s="41" t="s">
        <v>840</v>
      </c>
    </row>
    <row r="152" spans="1:1" x14ac:dyDescent="0.2">
      <c r="A152" s="42" t="s">
        <v>238</v>
      </c>
    </row>
    <row r="153" spans="1:1" x14ac:dyDescent="0.2">
      <c r="A153" s="42" t="s">
        <v>265</v>
      </c>
    </row>
    <row r="154" spans="1:1" x14ac:dyDescent="0.2">
      <c r="A154" s="42" t="s">
        <v>261</v>
      </c>
    </row>
    <row r="155" spans="1:1" x14ac:dyDescent="0.2">
      <c r="A155" s="42" t="s">
        <v>257</v>
      </c>
    </row>
    <row r="156" spans="1:1" x14ac:dyDescent="0.2">
      <c r="A156" s="42" t="s">
        <v>273</v>
      </c>
    </row>
    <row r="157" spans="1:1" x14ac:dyDescent="0.2">
      <c r="A157" s="41" t="s">
        <v>274</v>
      </c>
    </row>
    <row r="158" spans="1:1" x14ac:dyDescent="0.2">
      <c r="A158" s="41"/>
    </row>
    <row r="159" spans="1:1" x14ac:dyDescent="0.2">
      <c r="A159" s="41" t="s">
        <v>841</v>
      </c>
    </row>
    <row r="160" spans="1:1" x14ac:dyDescent="0.2">
      <c r="A160" s="41" t="s">
        <v>842</v>
      </c>
    </row>
    <row r="161" spans="1:1" x14ac:dyDescent="0.2">
      <c r="A161" s="42" t="s">
        <v>238</v>
      </c>
    </row>
    <row r="162" spans="1:1" x14ac:dyDescent="0.2">
      <c r="A162" s="42" t="s">
        <v>258</v>
      </c>
    </row>
    <row r="163" spans="1:1" x14ac:dyDescent="0.2">
      <c r="A163" s="42" t="s">
        <v>262</v>
      </c>
    </row>
    <row r="164" spans="1:1" x14ac:dyDescent="0.2">
      <c r="A164" s="42" t="s">
        <v>781</v>
      </c>
    </row>
    <row r="165" spans="1:1" x14ac:dyDescent="0.2">
      <c r="A165" s="42" t="s">
        <v>259</v>
      </c>
    </row>
    <row r="166" spans="1:1" x14ac:dyDescent="0.2">
      <c r="A166" s="42" t="s">
        <v>263</v>
      </c>
    </row>
    <row r="167" spans="1:1" x14ac:dyDescent="0.2">
      <c r="A167" s="42" t="s">
        <v>264</v>
      </c>
    </row>
    <row r="168" spans="1:1" x14ac:dyDescent="0.2">
      <c r="A168" s="42" t="s">
        <v>242</v>
      </c>
    </row>
    <row r="169" spans="1:1" x14ac:dyDescent="0.2">
      <c r="A169" s="42" t="s">
        <v>273</v>
      </c>
    </row>
    <row r="170" spans="1:1" x14ac:dyDescent="0.2">
      <c r="A170" s="41" t="s">
        <v>274</v>
      </c>
    </row>
    <row r="171" spans="1:1" x14ac:dyDescent="0.2">
      <c r="A171" s="41"/>
    </row>
    <row r="172" spans="1:1" x14ac:dyDescent="0.2">
      <c r="A172" s="41" t="s">
        <v>843</v>
      </c>
    </row>
    <row r="173" spans="1:1" x14ac:dyDescent="0.2">
      <c r="A173" s="41" t="s">
        <v>844</v>
      </c>
    </row>
    <row r="174" spans="1:1" x14ac:dyDescent="0.2">
      <c r="A174" s="42" t="s">
        <v>238</v>
      </c>
    </row>
    <row r="175" spans="1:1" x14ac:dyDescent="0.2">
      <c r="A175" s="42" t="s">
        <v>258</v>
      </c>
    </row>
    <row r="176" spans="1:1" x14ac:dyDescent="0.2">
      <c r="A176" s="42" t="s">
        <v>265</v>
      </c>
    </row>
    <row r="177" spans="1:1" x14ac:dyDescent="0.2">
      <c r="A177" s="42" t="s">
        <v>781</v>
      </c>
    </row>
    <row r="178" spans="1:1" x14ac:dyDescent="0.2">
      <c r="A178" s="42" t="s">
        <v>266</v>
      </c>
    </row>
    <row r="179" spans="1:1" x14ac:dyDescent="0.2">
      <c r="A179" s="42" t="s">
        <v>259</v>
      </c>
    </row>
    <row r="180" spans="1:1" x14ac:dyDescent="0.2">
      <c r="A180" s="42" t="s">
        <v>267</v>
      </c>
    </row>
    <row r="181" spans="1:1" x14ac:dyDescent="0.2">
      <c r="A181" s="42" t="s">
        <v>268</v>
      </c>
    </row>
    <row r="182" spans="1:1" x14ac:dyDescent="0.2">
      <c r="A182" s="42" t="s">
        <v>872</v>
      </c>
    </row>
    <row r="183" spans="1:1" x14ac:dyDescent="0.2">
      <c r="A183" s="42" t="s">
        <v>269</v>
      </c>
    </row>
    <row r="184" spans="1:1" x14ac:dyDescent="0.2">
      <c r="A184" s="42" t="s">
        <v>270</v>
      </c>
    </row>
    <row r="185" spans="1:1" x14ac:dyDescent="0.2">
      <c r="A185" s="42" t="s">
        <v>271</v>
      </c>
    </row>
    <row r="186" spans="1:1" x14ac:dyDescent="0.2">
      <c r="A186" s="42" t="s">
        <v>782</v>
      </c>
    </row>
    <row r="187" spans="1:1" x14ac:dyDescent="0.2">
      <c r="A187" s="42" t="s">
        <v>242</v>
      </c>
    </row>
    <row r="188" spans="1:1" x14ac:dyDescent="0.2">
      <c r="A188" s="42" t="s">
        <v>273</v>
      </c>
    </row>
    <row r="189" spans="1:1" x14ac:dyDescent="0.2">
      <c r="A189" s="41" t="s">
        <v>274</v>
      </c>
    </row>
    <row r="190" spans="1:1" x14ac:dyDescent="0.2">
      <c r="A190" s="41"/>
    </row>
    <row r="191" spans="1:1" x14ac:dyDescent="0.2">
      <c r="A191" s="41" t="s">
        <v>845</v>
      </c>
    </row>
    <row r="192" spans="1:1" x14ac:dyDescent="0.2">
      <c r="A192" s="41" t="s">
        <v>846</v>
      </c>
    </row>
    <row r="193" spans="1:1" x14ac:dyDescent="0.2">
      <c r="A193" s="42" t="s">
        <v>238</v>
      </c>
    </row>
    <row r="194" spans="1:1" x14ac:dyDescent="0.2">
      <c r="A194" s="42" t="s">
        <v>262</v>
      </c>
    </row>
    <row r="195" spans="1:1" x14ac:dyDescent="0.2">
      <c r="A195" s="42" t="s">
        <v>239</v>
      </c>
    </row>
    <row r="196" spans="1:1" x14ac:dyDescent="0.2">
      <c r="A196" s="42" t="s">
        <v>245</v>
      </c>
    </row>
    <row r="197" spans="1:1" x14ac:dyDescent="0.2">
      <c r="A197" s="42" t="s">
        <v>246</v>
      </c>
    </row>
    <row r="198" spans="1:1" x14ac:dyDescent="0.2">
      <c r="A198" s="42" t="s">
        <v>241</v>
      </c>
    </row>
    <row r="199" spans="1:1" x14ac:dyDescent="0.2">
      <c r="A199" s="42" t="s">
        <v>242</v>
      </c>
    </row>
    <row r="200" spans="1:1" x14ac:dyDescent="0.2">
      <c r="A200" s="42" t="s">
        <v>273</v>
      </c>
    </row>
    <row r="201" spans="1:1" x14ac:dyDescent="0.2">
      <c r="A201" s="41" t="s">
        <v>274</v>
      </c>
    </row>
    <row r="202" spans="1:1" x14ac:dyDescent="0.2">
      <c r="A202" s="41"/>
    </row>
    <row r="203" spans="1:1" x14ac:dyDescent="0.2">
      <c r="A203" s="41" t="s">
        <v>847</v>
      </c>
    </row>
    <row r="204" spans="1:1" x14ac:dyDescent="0.2">
      <c r="A204" s="41" t="s">
        <v>848</v>
      </c>
    </row>
    <row r="205" spans="1:1" x14ac:dyDescent="0.2">
      <c r="A205" s="42" t="s">
        <v>238</v>
      </c>
    </row>
    <row r="206" spans="1:1" x14ac:dyDescent="0.2">
      <c r="A206" s="42" t="s">
        <v>239</v>
      </c>
    </row>
    <row r="207" spans="1:1" x14ac:dyDescent="0.2">
      <c r="A207" s="42" t="s">
        <v>259</v>
      </c>
    </row>
    <row r="208" spans="1:1" x14ac:dyDescent="0.2">
      <c r="A208" s="42" t="s">
        <v>241</v>
      </c>
    </row>
    <row r="209" spans="1:1" x14ac:dyDescent="0.2">
      <c r="A209" s="42" t="s">
        <v>242</v>
      </c>
    </row>
    <row r="210" spans="1:1" x14ac:dyDescent="0.2">
      <c r="A210" s="42" t="s">
        <v>273</v>
      </c>
    </row>
    <row r="211" spans="1:1" x14ac:dyDescent="0.2">
      <c r="A211" s="41" t="s">
        <v>274</v>
      </c>
    </row>
    <row r="212" spans="1:1" x14ac:dyDescent="0.2">
      <c r="A212" s="41"/>
    </row>
    <row r="213" spans="1:1" x14ac:dyDescent="0.2">
      <c r="A213" s="41" t="s">
        <v>849</v>
      </c>
    </row>
    <row r="214" spans="1:1" x14ac:dyDescent="0.2">
      <c r="A214" s="41" t="s">
        <v>850</v>
      </c>
    </row>
    <row r="215" spans="1:1" x14ac:dyDescent="0.2">
      <c r="A215" s="42" t="s">
        <v>238</v>
      </c>
    </row>
    <row r="216" spans="1:1" x14ac:dyDescent="0.2">
      <c r="A216" s="42" t="s">
        <v>239</v>
      </c>
    </row>
    <row r="217" spans="1:1" x14ac:dyDescent="0.2">
      <c r="A217" s="42" t="s">
        <v>259</v>
      </c>
    </row>
    <row r="218" spans="1:1" x14ac:dyDescent="0.2">
      <c r="A218" s="42" t="s">
        <v>241</v>
      </c>
    </row>
    <row r="219" spans="1:1" x14ac:dyDescent="0.2">
      <c r="A219" s="42" t="s">
        <v>242</v>
      </c>
    </row>
    <row r="220" spans="1:1" x14ac:dyDescent="0.2">
      <c r="A220" s="42" t="s">
        <v>273</v>
      </c>
    </row>
    <row r="221" spans="1:1" x14ac:dyDescent="0.2">
      <c r="A221" s="41" t="s">
        <v>274</v>
      </c>
    </row>
    <row r="222" spans="1:1" x14ac:dyDescent="0.2">
      <c r="A222" s="41"/>
    </row>
    <row r="223" spans="1:1" x14ac:dyDescent="0.2">
      <c r="A223" s="41" t="s">
        <v>851</v>
      </c>
    </row>
    <row r="224" spans="1:1" x14ac:dyDescent="0.2">
      <c r="A224" s="41" t="s">
        <v>852</v>
      </c>
    </row>
    <row r="225" spans="1:1" x14ac:dyDescent="0.2">
      <c r="A225" s="42" t="s">
        <v>238</v>
      </c>
    </row>
    <row r="226" spans="1:1" x14ac:dyDescent="0.2">
      <c r="A226" s="42" t="s">
        <v>253</v>
      </c>
    </row>
    <row r="227" spans="1:1" x14ac:dyDescent="0.2">
      <c r="A227" s="42" t="s">
        <v>770</v>
      </c>
    </row>
    <row r="228" spans="1:1" x14ac:dyDescent="0.2">
      <c r="A228" s="42" t="s">
        <v>771</v>
      </c>
    </row>
    <row r="229" spans="1:1" x14ac:dyDescent="0.2">
      <c r="A229" s="42" t="s">
        <v>802</v>
      </c>
    </row>
    <row r="230" spans="1:1" x14ac:dyDescent="0.2">
      <c r="A230" s="42" t="s">
        <v>803</v>
      </c>
    </row>
    <row r="231" spans="1:1" x14ac:dyDescent="0.2">
      <c r="A231" s="42" t="s">
        <v>272</v>
      </c>
    </row>
    <row r="232" spans="1:1" x14ac:dyDescent="0.2">
      <c r="A232" s="42" t="s">
        <v>273</v>
      </c>
    </row>
    <row r="233" spans="1:1" x14ac:dyDescent="0.2">
      <c r="A233" s="41" t="s">
        <v>274</v>
      </c>
    </row>
    <row r="234" spans="1:1" x14ac:dyDescent="0.2">
      <c r="A234" s="41"/>
    </row>
    <row r="235" spans="1:1" x14ac:dyDescent="0.2">
      <c r="A235" s="41" t="s">
        <v>853</v>
      </c>
    </row>
    <row r="236" spans="1:1" x14ac:dyDescent="0.2">
      <c r="A236" s="41" t="s">
        <v>854</v>
      </c>
    </row>
    <row r="237" spans="1:1" x14ac:dyDescent="0.2">
      <c r="A237" s="42" t="s">
        <v>238</v>
      </c>
    </row>
    <row r="238" spans="1:1" x14ac:dyDescent="0.2">
      <c r="A238" s="42" t="s">
        <v>804</v>
      </c>
    </row>
    <row r="239" spans="1:1" x14ac:dyDescent="0.2">
      <c r="A239" s="42" t="s">
        <v>805</v>
      </c>
    </row>
    <row r="240" spans="1:1" x14ac:dyDescent="0.2">
      <c r="A240" s="42" t="s">
        <v>259</v>
      </c>
    </row>
    <row r="241" spans="1:1" x14ac:dyDescent="0.2">
      <c r="A241" s="42" t="s">
        <v>806</v>
      </c>
    </row>
    <row r="242" spans="1:1" x14ac:dyDescent="0.2">
      <c r="A242" s="42" t="s">
        <v>242</v>
      </c>
    </row>
    <row r="243" spans="1:1" x14ac:dyDescent="0.2">
      <c r="A243" s="42" t="s">
        <v>273</v>
      </c>
    </row>
    <row r="244" spans="1:1" x14ac:dyDescent="0.2">
      <c r="A244" s="41" t="s">
        <v>274</v>
      </c>
    </row>
    <row r="245" spans="1:1" x14ac:dyDescent="0.2">
      <c r="A245" s="41"/>
    </row>
    <row r="246" spans="1:1" x14ac:dyDescent="0.2">
      <c r="A246" s="41" t="s">
        <v>855</v>
      </c>
    </row>
    <row r="247" spans="1:1" x14ac:dyDescent="0.2">
      <c r="A247" s="41" t="s">
        <v>856</v>
      </c>
    </row>
    <row r="248" spans="1:1" x14ac:dyDescent="0.2">
      <c r="A248" s="42" t="s">
        <v>238</v>
      </c>
    </row>
    <row r="249" spans="1:1" x14ac:dyDescent="0.2">
      <c r="A249" s="42" t="s">
        <v>239</v>
      </c>
    </row>
    <row r="250" spans="1:1" x14ac:dyDescent="0.2">
      <c r="A250" s="42" t="s">
        <v>251</v>
      </c>
    </row>
    <row r="251" spans="1:1" x14ac:dyDescent="0.2">
      <c r="A251" s="42" t="s">
        <v>890</v>
      </c>
    </row>
    <row r="252" spans="1:1" x14ac:dyDescent="0.2">
      <c r="A252" s="42" t="s">
        <v>891</v>
      </c>
    </row>
    <row r="253" spans="1:1" x14ac:dyDescent="0.2">
      <c r="A253" s="42" t="s">
        <v>242</v>
      </c>
    </row>
    <row r="254" spans="1:1" x14ac:dyDescent="0.2">
      <c r="A254" s="42" t="s">
        <v>273</v>
      </c>
    </row>
    <row r="255" spans="1:1" x14ac:dyDescent="0.2">
      <c r="A255" s="41" t="s">
        <v>274</v>
      </c>
    </row>
    <row r="256" spans="1:1" x14ac:dyDescent="0.2">
      <c r="A256" s="41"/>
    </row>
  </sheetData>
  <pageMargins left="0.7" right="0.7" top="0.75" bottom="0.75" header="0.3" footer="0.3"/>
  <pageSetup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/>
  <dimension ref="A1:D19"/>
  <sheetViews>
    <sheetView workbookViewId="0">
      <selection activeCell="D13" sqref="D13"/>
    </sheetView>
  </sheetViews>
  <sheetFormatPr defaultColWidth="14.42578125" defaultRowHeight="15.75" customHeight="1" x14ac:dyDescent="0.2"/>
  <cols>
    <col min="1" max="2" width="9.85546875" customWidth="1"/>
  </cols>
  <sheetData>
    <row r="1" spans="1:4" ht="15.75" customHeight="1" x14ac:dyDescent="0.2">
      <c r="A1" s="1">
        <v>1</v>
      </c>
      <c r="B1" s="1" t="s">
        <v>5</v>
      </c>
      <c r="C1" s="1"/>
      <c r="D1" s="1" t="s">
        <v>6</v>
      </c>
    </row>
    <row r="2" spans="1:4" ht="15.75" customHeight="1" x14ac:dyDescent="0.2">
      <c r="A2" s="1">
        <v>2</v>
      </c>
      <c r="B2" s="1" t="s">
        <v>5</v>
      </c>
      <c r="C2" s="1" t="s">
        <v>7</v>
      </c>
      <c r="D2" s="1" t="s">
        <v>8</v>
      </c>
    </row>
    <row r="3" spans="1:4" ht="15.75" customHeight="1" x14ac:dyDescent="0.2">
      <c r="A3" s="1">
        <v>3</v>
      </c>
      <c r="B3" s="1" t="s">
        <v>5</v>
      </c>
      <c r="C3" s="1" t="s">
        <v>198</v>
      </c>
      <c r="D3" s="1" t="s">
        <v>199</v>
      </c>
    </row>
    <row r="4" spans="1:4" ht="15.75" customHeight="1" x14ac:dyDescent="0.2">
      <c r="A4" s="1">
        <v>4</v>
      </c>
      <c r="B4" s="1" t="s">
        <v>9</v>
      </c>
      <c r="C4" s="1" t="s">
        <v>12</v>
      </c>
      <c r="D4" s="1" t="s">
        <v>10</v>
      </c>
    </row>
    <row r="5" spans="1:4" ht="15.75" customHeight="1" x14ac:dyDescent="0.2">
      <c r="A5" s="1">
        <v>5</v>
      </c>
      <c r="B5" s="1" t="s">
        <v>9</v>
      </c>
      <c r="C5" s="1" t="s">
        <v>12</v>
      </c>
      <c r="D5" s="1" t="s">
        <v>11</v>
      </c>
    </row>
    <row r="6" spans="1:4" ht="15.75" customHeight="1" x14ac:dyDescent="0.2">
      <c r="A6" s="1">
        <v>6</v>
      </c>
      <c r="B6" s="1" t="s">
        <v>9</v>
      </c>
      <c r="C6" s="1" t="s">
        <v>12</v>
      </c>
      <c r="D6" s="1" t="s">
        <v>13</v>
      </c>
    </row>
    <row r="7" spans="1:4" ht="15.75" customHeight="1" x14ac:dyDescent="0.2">
      <c r="A7" s="1">
        <v>7</v>
      </c>
      <c r="B7" s="1" t="s">
        <v>9</v>
      </c>
      <c r="C7" s="1" t="s">
        <v>12</v>
      </c>
      <c r="D7" s="1" t="s">
        <v>14</v>
      </c>
    </row>
    <row r="8" spans="1:4" ht="15.75" customHeight="1" x14ac:dyDescent="0.2">
      <c r="A8" s="1">
        <v>8</v>
      </c>
      <c r="B8" s="1" t="s">
        <v>9</v>
      </c>
      <c r="C8" s="1" t="s">
        <v>12</v>
      </c>
      <c r="D8" s="1" t="s">
        <v>15</v>
      </c>
    </row>
    <row r="9" spans="1:4" ht="15.75" customHeight="1" x14ac:dyDescent="0.2">
      <c r="A9" s="1">
        <v>9</v>
      </c>
      <c r="B9" s="1" t="s">
        <v>9</v>
      </c>
      <c r="C9" s="1" t="s">
        <v>12</v>
      </c>
      <c r="D9" s="1" t="s">
        <v>16</v>
      </c>
    </row>
    <row r="10" spans="1:4" ht="15.75" customHeight="1" x14ac:dyDescent="0.2">
      <c r="A10" s="1">
        <v>10</v>
      </c>
      <c r="B10" s="1" t="s">
        <v>9</v>
      </c>
      <c r="C10" s="1" t="s">
        <v>12</v>
      </c>
      <c r="D10" s="4" t="s">
        <v>17</v>
      </c>
    </row>
    <row r="11" spans="1:4" ht="15.75" customHeight="1" x14ac:dyDescent="0.2">
      <c r="A11" s="1">
        <v>11</v>
      </c>
      <c r="B11" s="1" t="s">
        <v>24</v>
      </c>
      <c r="C11" s="1" t="s">
        <v>198</v>
      </c>
      <c r="D11" s="1" t="s">
        <v>25</v>
      </c>
    </row>
    <row r="12" spans="1:4" ht="15.75" customHeight="1" x14ac:dyDescent="0.2">
      <c r="A12" s="33">
        <v>12</v>
      </c>
      <c r="B12" s="33" t="s">
        <v>5</v>
      </c>
      <c r="D12" s="33" t="s">
        <v>178</v>
      </c>
    </row>
    <row r="13" spans="1:4" ht="15.75" customHeight="1" x14ac:dyDescent="0.2">
      <c r="A13" s="33">
        <v>13</v>
      </c>
      <c r="B13" s="33" t="s">
        <v>9</v>
      </c>
      <c r="C13" t="s">
        <v>12</v>
      </c>
      <c r="D13" s="33" t="s">
        <v>179</v>
      </c>
    </row>
    <row r="14" spans="1:4" ht="15.75" customHeight="1" x14ac:dyDescent="0.2">
      <c r="A14" s="33">
        <v>14</v>
      </c>
      <c r="B14" s="33" t="s">
        <v>9</v>
      </c>
      <c r="C14" t="s">
        <v>12</v>
      </c>
      <c r="D14" s="33" t="s">
        <v>180</v>
      </c>
    </row>
    <row r="15" spans="1:4" ht="15.75" customHeight="1" x14ac:dyDescent="0.2">
      <c r="A15" s="33">
        <v>15</v>
      </c>
      <c r="B15" s="33" t="s">
        <v>24</v>
      </c>
      <c r="D15" s="33" t="s">
        <v>204</v>
      </c>
    </row>
    <row r="16" spans="1:4" ht="15.75" customHeight="1" x14ac:dyDescent="0.2">
      <c r="A16" s="33">
        <v>16</v>
      </c>
      <c r="D16" s="33" t="s">
        <v>779</v>
      </c>
    </row>
    <row r="17" spans="1:4" ht="15.75" customHeight="1" x14ac:dyDescent="0.2">
      <c r="A17" s="33">
        <v>17</v>
      </c>
      <c r="D17" s="33" t="s">
        <v>892</v>
      </c>
    </row>
    <row r="18" spans="1:4" ht="15.75" customHeight="1" x14ac:dyDescent="0.2">
      <c r="A18" s="33">
        <v>18</v>
      </c>
      <c r="D18" s="33" t="s">
        <v>893</v>
      </c>
    </row>
    <row r="19" spans="1:4" ht="15.75" customHeight="1" x14ac:dyDescent="0.2">
      <c r="A19" s="33">
        <v>19</v>
      </c>
      <c r="D19" s="33" t="s">
        <v>894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D8"/>
  <sheetViews>
    <sheetView workbookViewId="0">
      <selection activeCell="D1" sqref="D1:D8"/>
    </sheetView>
  </sheetViews>
  <sheetFormatPr defaultRowHeight="12.75" x14ac:dyDescent="0.2"/>
  <cols>
    <col min="3" max="3" width="16.42578125" bestFit="1" customWidth="1"/>
  </cols>
  <sheetData>
    <row r="1" spans="1:4" x14ac:dyDescent="0.2">
      <c r="A1" t="s">
        <v>902</v>
      </c>
      <c r="B1" t="s">
        <v>561</v>
      </c>
      <c r="C1" s="77" t="s">
        <v>921</v>
      </c>
    </row>
    <row r="2" spans="1:4" x14ac:dyDescent="0.2">
      <c r="A2" t="s">
        <v>903</v>
      </c>
      <c r="B2" t="s">
        <v>909</v>
      </c>
      <c r="C2" s="77" t="s">
        <v>925</v>
      </c>
      <c r="D2" s="71"/>
    </row>
    <row r="3" spans="1:4" x14ac:dyDescent="0.2">
      <c r="A3" t="s">
        <v>904</v>
      </c>
      <c r="B3" t="s">
        <v>910</v>
      </c>
      <c r="C3" s="77"/>
      <c r="D3" s="71"/>
    </row>
    <row r="4" spans="1:4" x14ac:dyDescent="0.2">
      <c r="A4" t="s">
        <v>905</v>
      </c>
      <c r="B4" t="s">
        <v>911</v>
      </c>
      <c r="D4" s="71"/>
    </row>
    <row r="5" spans="1:4" x14ac:dyDescent="0.2">
      <c r="A5" t="s">
        <v>906</v>
      </c>
      <c r="B5" t="s">
        <v>291</v>
      </c>
      <c r="D5" s="71"/>
    </row>
    <row r="6" spans="1:4" x14ac:dyDescent="0.2">
      <c r="A6" t="s">
        <v>907</v>
      </c>
      <c r="D6" s="71"/>
    </row>
    <row r="7" spans="1:4" x14ac:dyDescent="0.2">
      <c r="A7" t="s">
        <v>908</v>
      </c>
      <c r="D7" s="71"/>
    </row>
    <row r="8" spans="1:4" x14ac:dyDescent="0.2">
      <c r="A8" t="s">
        <v>710</v>
      </c>
      <c r="D8" s="7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Sheet1</vt:lpstr>
      <vt:lpstr>tables</vt:lpstr>
      <vt:lpstr>properties</vt:lpstr>
      <vt:lpstr>Review</vt:lpstr>
      <vt:lpstr>properties (2)</vt:lpstr>
      <vt:lpstr>Review (2)</vt:lpstr>
      <vt:lpstr>tables_old</vt:lpstr>
      <vt:lpstr>Sheet2</vt:lpstr>
      <vt:lpstr>Review_old</vt:lpstr>
      <vt:lpstr>Questions</vt:lpstr>
      <vt:lpstr>mvcPrep</vt:lpstr>
      <vt:lpstr>eMySQLDataType</vt:lpstr>
      <vt:lpstr>eMySQLDefault</vt:lpstr>
      <vt:lpstr>ePredefined</vt:lpstr>
      <vt:lpstr>eTableDefinitions</vt:lpstr>
      <vt:lpstr>Rng_Defaults</vt:lpstr>
      <vt:lpstr>'properties (2)'!Rng_Properties</vt:lpstr>
      <vt:lpstr>Rng_Properties</vt:lpstr>
      <vt:lpstr>RngReserved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Praveen Kumar Nandagiri</dc:creator>
  <cp:lastModifiedBy>Praveen Kumar Nandagiri</cp:lastModifiedBy>
  <dcterms:created xsi:type="dcterms:W3CDTF">2015-07-02T21:19:55Z</dcterms:created>
  <dcterms:modified xsi:type="dcterms:W3CDTF">2021-06-20T05:07:35Z</dcterms:modified>
</cp:coreProperties>
</file>